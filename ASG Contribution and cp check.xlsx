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iance duel" sheetId="1" r:id="rId5"/>
    <sheet state="visible" name="Tech" sheetId="2" r:id="rId6"/>
    <sheet state="visible" name="CP check" sheetId="3" r:id="rId7"/>
    <sheet state="visible" name="Kicking lis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tc={28bb8b1e-7a12-4883-a312-d1053748d38b}</author>
    <author>tc={78523d50-3fe0-4d0a-b987-e99a8f8aef99}</author>
    <author>tc={90fc6ca0-04c4-411f-addf-c3397869fae7}</author>
    <author>tc={9e958fb1-764a-4b2f-9e95-6127ef9b6807}</author>
    <author>tc={a866bad1-3da3-411b-a79a-bf1648891145}</author>
    <author>tc={a8cc1462-89b3-4059-af48-952a549c2720}</author>
    <author>tc={bf3c60f5-c8c5-4efa-922a-739f5b0abf70}</author>
    <author>tc={c7e3e3cc-e933-45d1-a505-782da3d1f082}</author>
    <author>tc={d3df5409-35c3-49f9-bc48-7c56b2d3afcf}</author>
  </authors>
  <commentList>
    <comment authorId="0" ref="M99">
      <text>
        <t xml:space="preserve">enter 16.05
</t>
      </text>
    </comment>
    <comment authorId="0" ref="E100">
      <text>
        <t xml:space="preserve">entrance May 05th
</t>
      </text>
    </comment>
    <comment authorId="0" ref="M100">
      <text>
        <t xml:space="preserve">enter 17.05
</t>
      </text>
    </comment>
    <comment authorId="0" ref="M101">
      <text>
        <t xml:space="preserve">enter 14.05
</t>
      </text>
    </comment>
    <comment authorId="1" xr:uid="{28bb8b1e-7a12-4883-a312-d1053748d38b}" ref="D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04/29
</t>
      </text>
    </comment>
    <comment authorId="2" xr:uid="{78523d50-3fe0-4d0a-b987-e99a8f8aef99}" ref="D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04/27
</t>
      </text>
    </comment>
    <comment authorId="3" xr:uid="{90fc6ca0-04c4-411f-addf-c3397869fae7}" ref="D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05/01
</t>
      </text>
    </comment>
    <comment authorId="4" xr:uid="{9e958fb1-764a-4b2f-9e95-6127ef9b6807}" ref="D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04/30
</t>
      </text>
    </comment>
    <comment authorId="5" xr:uid="{a866bad1-3da3-411b-a79a-bf1648891145}" ref="D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04/29
</t>
      </text>
    </comment>
    <comment authorId="6" xr:uid="{a8cc1462-89b3-4059-af48-952a549c2720}" ref="D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04/29
</t>
      </text>
    </comment>
    <comment authorId="7" xr:uid="{bf3c60f5-c8c5-4efa-922a-739f5b0abf70}" ref="D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04/29
</t>
      </text>
    </comment>
    <comment authorId="8" xr:uid="{c7e3e3cc-e933-45d1-a505-782da3d1f082}" ref="D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04/29
</t>
      </text>
    </comment>
    <comment authorId="9" xr:uid="{d3df5409-35c3-49f9-bc48-7c56b2d3afcf}" ref="D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05/01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tc={420db481-4c04-4909-b78e-c1bc45c06ac6}</author>
    <author>tc={951c78ac-77ba-4543-8b0c-8848c26f0410}</author>
    <author>tc={96abd43e-6e72-4dc3-b397-ccb23cb43962}</author>
    <author>tc={d2a74a38-02b9-4341-87af-e6f905b669b9}</author>
    <author>tc={db4bcbd3-6b9a-4690-a426-0e90c0455f2f}</author>
    <author>tc={e0695c10-1df0-4eb4-b35d-a5aa99af6dc0}</author>
    <author>tc={e3d95277-020d-4225-a4a6-c308c7965e02}</author>
  </authors>
  <commentList>
    <comment authorId="0" ref="E96">
      <text>
        <t xml:space="preserve">entered May 07th
</t>
      </text>
    </comment>
    <comment authorId="0" ref="E97">
      <text>
        <t xml:space="preserve">entered May 05th
</t>
      </text>
    </comment>
    <comment authorId="0" ref="E98">
      <text>
        <t xml:space="preserve">entered May 9th
</t>
      </text>
    </comment>
    <comment authorId="1" xr:uid="{420db481-4c04-4909-b78e-c1bc45c06ac6}" ref="D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05/01
</t>
      </text>
    </comment>
    <comment authorId="2" xr:uid="{951c78ac-77ba-4543-8b0c-8848c26f0410}" ref="D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05/01
</t>
      </text>
    </comment>
    <comment authorId="3" xr:uid="{96abd43e-6e72-4dc3-b397-ccb23cb43962}" ref="D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05/01
</t>
      </text>
    </comment>
    <comment authorId="4" xr:uid="{d2a74a38-02b9-4341-87af-e6f905b669b9}" ref="D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05/01
</t>
      </text>
    </comment>
    <comment authorId="5" xr:uid="{db4bcbd3-6b9a-4690-a426-0e90c0455f2f}" ref="D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04/29
</t>
      </text>
    </comment>
    <comment authorId="6" xr:uid="{e0695c10-1df0-4eb4-b35d-a5aa99af6dc0}" ref="D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04/30
</t>
      </text>
    </comment>
    <comment authorId="7" xr:uid="{e3d95277-020d-4225-a4a6-c308c7965e02}" ref="D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joined 04/29
</t>
      </text>
    </comment>
  </commentList>
</comments>
</file>

<file path=xl/sharedStrings.xml><?xml version="1.0" encoding="utf-8"?>
<sst xmlns="http://schemas.openxmlformats.org/spreadsheetml/2006/main" count="1121" uniqueCount="186">
  <si>
    <t>Members</t>
  </si>
  <si>
    <t>Duel Week 1
April 27 - May 2nd
 results at day 5
(MILLION)</t>
  </si>
  <si>
    <t>daily average contribution
(MILLION)</t>
  </si>
  <si>
    <t>Tiers</t>
  </si>
  <si>
    <t>Members 2</t>
  </si>
  <si>
    <t>Duel Week 2
May 4th - May 9nd
 results at day 2
(MILLION)</t>
  </si>
  <si>
    <t>daily average contribution_x000a__x000a_(MILLION) 2</t>
  </si>
  <si>
    <t>Tiers 2</t>
  </si>
  <si>
    <t>Members 3</t>
  </si>
  <si>
    <t>Duel Week 3
May 11th - May 17
 results 
(MILLION)</t>
  </si>
  <si>
    <t>daily average contribution_x000a__x000a_(MILLION) 3</t>
  </si>
  <si>
    <t>Tiers 3</t>
  </si>
  <si>
    <t>Members 4</t>
  </si>
  <si>
    <t>Duel Week 4
May 18th - May 23
 results 
(MILLION)</t>
  </si>
  <si>
    <t>daily average contribution_x000a__x000a_(MILLION) 4</t>
  </si>
  <si>
    <t>Tiers 4</t>
  </si>
  <si>
    <t>notes</t>
  </si>
  <si>
    <t>Ragnar</t>
  </si>
  <si>
    <t>Brynhild</t>
  </si>
  <si>
    <t>Yosker</t>
  </si>
  <si>
    <t>CAT</t>
  </si>
  <si>
    <t>Coach522</t>
  </si>
  <si>
    <t>DarkMistress</t>
  </si>
  <si>
    <t>Eh-eh ex</t>
  </si>
  <si>
    <t>God Farbauti</t>
  </si>
  <si>
    <t>Ivarr</t>
  </si>
  <si>
    <t>Lowkee</t>
  </si>
  <si>
    <t>Overwatch</t>
  </si>
  <si>
    <t>Batsy</t>
  </si>
  <si>
    <t>Nightfall</t>
  </si>
  <si>
    <t>Sif</t>
  </si>
  <si>
    <t>BAT</t>
  </si>
  <si>
    <t xml:space="preserve">alter </t>
  </si>
  <si>
    <t>Emir</t>
  </si>
  <si>
    <t>末世危機</t>
  </si>
  <si>
    <t>Syh Momma</t>
  </si>
  <si>
    <t>Rinufc</t>
  </si>
  <si>
    <t>Nikuskaa</t>
  </si>
  <si>
    <t>Alucard-Reborn</t>
  </si>
  <si>
    <t>Tobytof</t>
  </si>
  <si>
    <t>NuWah22</t>
  </si>
  <si>
    <t>Warrior AK</t>
  </si>
  <si>
    <t>Psycho89</t>
  </si>
  <si>
    <t>Xavier67</t>
  </si>
  <si>
    <t>Irish Pirate</t>
  </si>
  <si>
    <t>LC Semox</t>
  </si>
  <si>
    <t>Lethalstrike</t>
  </si>
  <si>
    <t>ana23456</t>
  </si>
  <si>
    <t>Rouxz</t>
  </si>
  <si>
    <t>Ehyyywhyy</t>
  </si>
  <si>
    <t>Naoy</t>
  </si>
  <si>
    <t>Heimdall</t>
  </si>
  <si>
    <t>Beautiful War</t>
  </si>
  <si>
    <t>Francesca</t>
  </si>
  <si>
    <t>Dhashreeyans</t>
  </si>
  <si>
    <t>Freya</t>
  </si>
  <si>
    <t>Lethalshot</t>
  </si>
  <si>
    <t>Nyaminyam</t>
  </si>
  <si>
    <t>SidLuke</t>
  </si>
  <si>
    <t>WalkerQueen25</t>
  </si>
  <si>
    <t>censhe</t>
  </si>
  <si>
    <t>Kaydee92</t>
  </si>
  <si>
    <t>Pé de Pano</t>
  </si>
  <si>
    <t>Bat Organa</t>
  </si>
  <si>
    <t>Lucifer</t>
  </si>
  <si>
    <t>Takok</t>
  </si>
  <si>
    <t>Twins009</t>
  </si>
  <si>
    <t>Billdog</t>
  </si>
  <si>
    <t>Frall</t>
  </si>
  <si>
    <t>Sm00f</t>
  </si>
  <si>
    <t>Lazy Foxlily</t>
  </si>
  <si>
    <t>Chopchopchop</t>
  </si>
  <si>
    <t>Belle des Champs</t>
  </si>
  <si>
    <t>정아마루</t>
  </si>
  <si>
    <t>Maziii</t>
  </si>
  <si>
    <t>F0xxie</t>
  </si>
  <si>
    <t>Twisted Stixx</t>
  </si>
  <si>
    <t>dumdum2</t>
  </si>
  <si>
    <t>Zeliyyyy</t>
  </si>
  <si>
    <t>Mr. Ethanol</t>
  </si>
  <si>
    <t>Apopis</t>
  </si>
  <si>
    <t>Daenerys</t>
  </si>
  <si>
    <t>Iulian90</t>
  </si>
  <si>
    <t>Hadishaikh</t>
  </si>
  <si>
    <t>Thi Mun</t>
  </si>
  <si>
    <t>Summer</t>
  </si>
  <si>
    <t>Sir Fafa</t>
  </si>
  <si>
    <t>Olderguy</t>
  </si>
  <si>
    <t>Ethancito</t>
  </si>
  <si>
    <t>Zsunna</t>
  </si>
  <si>
    <t>σιωπη</t>
  </si>
  <si>
    <t>Messengers</t>
  </si>
  <si>
    <t>Cyborn</t>
  </si>
  <si>
    <t>OliverSP</t>
  </si>
  <si>
    <t>Franzine91</t>
  </si>
  <si>
    <t>TTSI</t>
  </si>
  <si>
    <t>Miku V01</t>
  </si>
  <si>
    <t>Scorpion</t>
  </si>
  <si>
    <t>Yasir Mutlu</t>
  </si>
  <si>
    <t>GowanG</t>
  </si>
  <si>
    <t>Cimbomm</t>
  </si>
  <si>
    <t>Bel</t>
  </si>
  <si>
    <t>Echobean</t>
  </si>
  <si>
    <t>Anubi</t>
  </si>
  <si>
    <t>가즈 아</t>
  </si>
  <si>
    <t>Bjorn IXVII</t>
  </si>
  <si>
    <t>Sappo420</t>
  </si>
  <si>
    <t>Claudiao Matador</t>
  </si>
  <si>
    <t>Gamzebyl</t>
  </si>
  <si>
    <t>Dayzafan</t>
  </si>
  <si>
    <t>Mavs42</t>
  </si>
  <si>
    <t>kvF7</t>
  </si>
  <si>
    <t>Vanmemias</t>
  </si>
  <si>
    <t>Starboy</t>
  </si>
  <si>
    <t>Aggi2001</t>
  </si>
  <si>
    <t>Latigo Wasabi</t>
  </si>
  <si>
    <t>KingSkrodum PR</t>
  </si>
  <si>
    <t>Persian Aria</t>
  </si>
  <si>
    <t>Meyleen</t>
  </si>
  <si>
    <t>Albittyx</t>
  </si>
  <si>
    <t>Wolffing</t>
  </si>
  <si>
    <t>AnupK</t>
  </si>
  <si>
    <t>Floki</t>
  </si>
  <si>
    <t>Mon2k17</t>
  </si>
  <si>
    <t>Masonobie</t>
  </si>
  <si>
    <t>Imalhe</t>
  </si>
  <si>
    <t>Leila2732</t>
  </si>
  <si>
    <t>Meaux Pie</t>
  </si>
  <si>
    <t>Eirlys</t>
  </si>
  <si>
    <t>Néphtys</t>
  </si>
  <si>
    <t>sj amazona</t>
  </si>
  <si>
    <t>Moyete357</t>
  </si>
  <si>
    <t>Papi Grande</t>
  </si>
  <si>
    <t>killbrice</t>
  </si>
  <si>
    <t xml:space="preserve">daily average contribution
real benchmark </t>
  </si>
  <si>
    <t>Monday Apr 27 - May 1st</t>
  </si>
  <si>
    <t>daily average contribution</t>
  </si>
  <si>
    <t>May 04th - May 10</t>
  </si>
  <si>
    <t>daily average contribution 2</t>
  </si>
  <si>
    <t>May 11th - May 17</t>
  </si>
  <si>
    <t>daily average contribution 3</t>
  </si>
  <si>
    <t>note</t>
  </si>
  <si>
    <t>Pirate522</t>
  </si>
  <si>
    <t>alter</t>
  </si>
  <si>
    <t>Psyco89</t>
  </si>
  <si>
    <t>-</t>
  </si>
  <si>
    <t>Nephtys</t>
  </si>
  <si>
    <t>May 22nd - cp</t>
  </si>
  <si>
    <t>May 29th - cp</t>
  </si>
  <si>
    <t>average daily progress</t>
  </si>
  <si>
    <t>April 30th - cp</t>
  </si>
  <si>
    <t>23 days growth
( M )</t>
  </si>
  <si>
    <t>Tier</t>
  </si>
  <si>
    <t>Eyyywhyy</t>
  </si>
  <si>
    <t>Alan002</t>
  </si>
  <si>
    <t>Sami2000</t>
  </si>
  <si>
    <t>Lyneth</t>
  </si>
  <si>
    <t>Gildartsclive</t>
  </si>
  <si>
    <t>CKale</t>
  </si>
  <si>
    <t>TinyNoo3</t>
  </si>
  <si>
    <t>Rida-Fox</t>
  </si>
  <si>
    <t>Seboso</t>
  </si>
  <si>
    <t>DangoMango</t>
  </si>
  <si>
    <t>Al3bawe</t>
  </si>
  <si>
    <t>tech</t>
  </si>
  <si>
    <t>Alliance duel</t>
  </si>
  <si>
    <t>status</t>
  </si>
  <si>
    <t>good</t>
  </si>
  <si>
    <t>low</t>
  </si>
  <si>
    <t>below avg</t>
  </si>
  <si>
    <t>member</t>
  </si>
  <si>
    <t>if strictly necessary as he is good in tech, we can address maybe on alliance duel. No participation in events in any case</t>
  </si>
  <si>
    <t>I am really attached to this guy so this one only we need space - and we have not other players to boot - for Sensei or Burkey</t>
  </si>
  <si>
    <t>below average</t>
  </si>
  <si>
    <t>Do not remove (Per Ragnar)</t>
  </si>
  <si>
    <t>Low</t>
  </si>
  <si>
    <t>She said she will try her best to get more points and participates in events.</t>
  </si>
  <si>
    <t>removed</t>
  </si>
  <si>
    <t>to be removed</t>
  </si>
  <si>
    <t>for inactivity</t>
  </si>
  <si>
    <t>for internal issue</t>
  </si>
  <si>
    <t>Zeliiyyy</t>
  </si>
  <si>
    <t xml:space="preserve">removed </t>
  </si>
  <si>
    <t>for inactivity 18/05</t>
  </si>
  <si>
    <t xml:space="preserve"> for inactivity</t>
  </si>
  <si>
    <t>Imelhe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</si>
</sst>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0" fillId="6" fontId="2" numFmtId="0" xfId="0" applyAlignment="1" applyFont="1">
      <alignment horizontal="center" shrinkToFit="0" vertical="center" wrapText="0"/>
    </xf>
    <xf borderId="1" fillId="5" fontId="2" numFmtId="164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164" xfId="0" applyAlignment="1" applyBorder="1" applyFont="1" applyNumberFormat="1">
      <alignment horizontal="center" readingOrder="0"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5" fontId="1" numFmtId="164" xfId="0" applyAlignment="1" applyFont="1" applyNumberFormat="1">
      <alignment horizontal="center" readingOrder="0" shrinkToFit="0" vertical="center" wrapText="0"/>
    </xf>
    <xf borderId="0" fillId="5" fontId="1" numFmtId="0" xfId="0" applyAlignment="1" applyFont="1">
      <alignment horizontal="center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1"/>
    </xf>
    <xf borderId="3" fillId="5" fontId="2" numFmtId="0" xfId="0" applyAlignment="1" applyBorder="1" applyFont="1">
      <alignment shrinkToFit="0" vertical="center" wrapText="0"/>
    </xf>
    <xf borderId="1" fillId="5" fontId="2" numFmtId="1" xfId="0" applyAlignment="1" applyBorder="1" applyFont="1" applyNumberFormat="1">
      <alignment horizontal="center" shrinkToFit="0" vertical="center" wrapText="0"/>
    </xf>
    <xf borderId="4" fillId="2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5">
    <tableStyle count="4" pivot="0" name="Alliance du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P che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P check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icking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owkee" id="{27e6ef4e-bb3b-4a37-8810-a7a64fde4a64}" providerId="google-sheets"/>
</x18tc:personList>
</file>

<file path=xl/tables/table1.xml><?xml version="1.0" encoding="utf-8"?>
<table xmlns="http://schemas.openxmlformats.org/spreadsheetml/2006/main" ref="A1:Q106" displayName="Alliance_Duel" name="Alliance_Duel" id="1">
  <tableColumns count="17">
    <tableColumn name="Members" id="1"/>
    <tableColumn name="Duel Week 1_x000a_April 27 - May 2nd_x000a_ results at day 5_x000a_(MILLION)" id="2"/>
    <tableColumn name="daily average contribution_x000a__x000a_(MILLION)" id="3"/>
    <tableColumn name="Tiers" id="4"/>
    <tableColumn name="Members 2" id="5"/>
    <tableColumn name="Duel Week 2_x000a_May 4th - May 9nd_x000a_ results at day 2_x000a_(MILLION)" id="6"/>
    <tableColumn name="daily average contribution_x000a__x000a_(MILLION) 2" id="7"/>
    <tableColumn name="Tiers 2" id="8"/>
    <tableColumn name="Members 3" id="9"/>
    <tableColumn name="Duel Week 3_x000a_May 11th - May 17_x000a_ results _x000a_(MILLION)" id="10"/>
    <tableColumn name="daily average contribution_x000a__x000a_(MILLION) 3" id="11"/>
    <tableColumn name="Tiers 3" id="12"/>
    <tableColumn name="Members 4" id="13"/>
    <tableColumn name="Duel Week 4_x000a_May 18th - May 23_x000a_ results _x000a_(MILLION)" id="14"/>
    <tableColumn name="daily average contribution_x000a__x000a_(MILLION) 4" id="15"/>
    <tableColumn name="Tiers 4" id="16"/>
    <tableColumn name="notes" id="17"/>
  </tableColumns>
  <tableStyleInfo name="Alliance duel-style" showColumnStripes="0" showFirstColumn="1" showLastColumn="1" showRowStripes="1"/>
</table>
</file>

<file path=xl/tables/table2.xml><?xml version="1.0" encoding="utf-8"?>
<table xmlns="http://schemas.openxmlformats.org/spreadsheetml/2006/main" ref="A1:M102" displayName="Tech" name="Tech" id="2">
  <tableColumns count="13">
    <tableColumn name="Members" id="1"/>
    <tableColumn name="Monday Apr 27 - May 1st" id="2"/>
    <tableColumn name="daily average contribution" id="3"/>
    <tableColumn name="Tiers" id="4"/>
    <tableColumn name="Members 2" id="5"/>
    <tableColumn name="May 04th - May 10" id="6"/>
    <tableColumn name="daily average contribution 2" id="7"/>
    <tableColumn name="Tiers 2" id="8"/>
    <tableColumn name="Members 3" id="9"/>
    <tableColumn name="May 11th - May 17" id="10"/>
    <tableColumn name="daily average contribution 3" id="11"/>
    <tableColumn name="Tiers 3" id="12"/>
    <tableColumn name="note" id="13"/>
  </tableColumns>
  <tableStyleInfo name="Tech-style" showColumnStripes="0" showFirstColumn="1" showLastColumn="1" showRowStripes="1"/>
</table>
</file>

<file path=xl/tables/table3.xml><?xml version="1.0" encoding="utf-8"?>
<table xmlns="http://schemas.openxmlformats.org/spreadsheetml/2006/main" ref="A1:D101" displayName="Cp_counting" name="Cp_counting" id="3">
  <tableColumns count="4">
    <tableColumn name="Members" id="1"/>
    <tableColumn name="May 22nd - cp" id="2"/>
    <tableColumn name="May 29th - cp" id="3"/>
    <tableColumn name="average daily progress" id="4"/>
  </tableColumns>
  <tableStyleInfo name="CP check-style" showColumnStripes="0" showFirstColumn="1" showLastColumn="1" showRowStripes="1"/>
</table>
</file>

<file path=xl/tables/table4.xml><?xml version="1.0" encoding="utf-8"?>
<table xmlns="http://schemas.openxmlformats.org/spreadsheetml/2006/main" ref="F1:I101" displayName="First_calculation" name="First_calculation" id="4">
  <tableColumns count="4">
    <tableColumn name="April 30th - cp" id="1"/>
    <tableColumn name="23 days growth_x000a_( M )" id="2"/>
    <tableColumn name="average daily progress" id="3"/>
    <tableColumn name="Tier" id="4"/>
  </tableColumns>
  <tableStyleInfo name="CP check-style 2" showColumnStripes="0" showFirstColumn="1" showLastColumn="1" showRowStripes="1"/>
</table>
</file>

<file path=xl/tables/table5.xml><?xml version="1.0" encoding="utf-8"?>
<table xmlns="http://schemas.openxmlformats.org/spreadsheetml/2006/main" ref="A1:F30" displayName="Booting_list" name="Booting_list" id="5">
  <tableColumns count="6">
    <tableColumn name="Members" id="1"/>
    <tableColumn name="tech" id="2"/>
    <tableColumn name="Alliance duel" id="3"/>
    <tableColumn name="Tiers" id="4"/>
    <tableColumn name="status" id="5"/>
    <tableColumn name="notes" id="6"/>
  </tableColumns>
  <tableStyleInfo name="Kicking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6" dT="2026-05-01T21:26:54.00" personId="{27e6ef4e-bb3b-4a37-8810-a7a64fde4a64}" id="{28bb8b1e-7a12-4883-a312-d1053748d38b}" done="0">
    <x18tc:text xml:space="preserve">joined 04/29</x18tc:text>
  </x18tc:threadedComment>
  <x18tc:threadedComment ref="D101" dT="2026-05-01T21:27:09.00" personId="{27e6ef4e-bb3b-4a37-8810-a7a64fde4a64}" id="{a8cc1462-89b3-4059-af48-952a549c2720}" done="0">
    <x18tc:text xml:space="preserve">joined 04/29</x18tc:text>
  </x18tc:threadedComment>
  <x18tc:threadedComment ref="D90" dT="2026-05-01T21:26:31.00" personId="{27e6ef4e-bb3b-4a37-8810-a7a64fde4a64}" id="{c7e3e3cc-e933-45d1-a505-782da3d1f082}" done="0">
    <x18tc:text xml:space="preserve">joined 04/29</x18tc:text>
  </x18tc:threadedComment>
  <x18tc:threadedComment ref="D95" dT="2026-05-01T21:26:40.00" personId="{27e6ef4e-bb3b-4a37-8810-a7a64fde4a64}" id="{9e958fb1-764a-4b2f-9e95-6127ef9b6807}" done="0">
    <x18tc:text xml:space="preserve">joined 04/30</x18tc:text>
  </x18tc:threadedComment>
  <x18tc:threadedComment ref="D89" dT="2026-05-01T21:26:19.00" personId="{27e6ef4e-bb3b-4a37-8810-a7a64fde4a64}" id="{bf3c60f5-c8c5-4efa-922a-739f5b0abf70}" done="0">
    <x18tc:text xml:space="preserve">joined 04/29</x18tc:text>
  </x18tc:threadedComment>
  <x18tc:threadedComment ref="D102" dT="2026-05-01T21:28:17.00" personId="{27e6ef4e-bb3b-4a37-8810-a7a64fde4a64}" id="{90fc6ca0-04c4-411f-addf-c3397869fae7}" done="0">
    <x18tc:text xml:space="preserve">Joined 05/01</x18tc:text>
  </x18tc:threadedComment>
  <x18tc:threadedComment ref="D85" dT="2026-05-01T21:25:51.00" personId="{27e6ef4e-bb3b-4a37-8810-a7a64fde4a64}" id="{a866bad1-3da3-411b-a79a-bf1648891145}" done="0">
    <x18tc:text xml:space="preserve">joined 04/29</x18tc:text>
  </x18tc:threadedComment>
  <x18tc:threadedComment ref="D103" dT="2026-05-01T21:28:28.00" personId="{27e6ef4e-bb3b-4a37-8810-a7a64fde4a64}" id="{d3df5409-35c3-49f9-bc48-7c56b2d3afcf}" done="0">
    <x18tc:text xml:space="preserve">joined 05/01</x18tc:text>
  </x18tc:threadedComment>
  <x18tc:threadedComment ref="D86" dT="2026-05-01T21:26:05.00" personId="{27e6ef4e-bb3b-4a37-8810-a7a64fde4a64}" id="{78523d50-3fe0-4d0a-b987-e99a8f8aef99}" done="0">
    <x18tc:text xml:space="preserve">joined 04/27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8" dT="2026-05-01T20:57:23.00" personId="{27e6ef4e-bb3b-4a37-8810-a7a64fde4a64}" id="{e3d95277-020d-4225-a4a6-c308c7965e02}" done="0">
    <x18tc:text xml:space="preserve">joined 04/29</x18tc:text>
  </x18tc:threadedComment>
  <x18tc:threadedComment ref="D99" dT="2026-05-01T20:57:53.00" personId="{27e6ef4e-bb3b-4a37-8810-a7a64fde4a64}" id="{db4bcbd3-6b9a-4690-a426-0e90c0455f2f}" done="0">
    <x18tc:text xml:space="preserve">joined 04/29</x18tc:text>
  </x18tc:threadedComment>
  <x18tc:threadedComment ref="D94" dT="2026-05-01T20:53:45.00" personId="{27e6ef4e-bb3b-4a37-8810-a7a64fde4a64}" id="{d2a74a38-02b9-4341-87af-e6f905b669b9}" done="0">
    <x18tc:text xml:space="preserve">joined 05/01</x18tc:text>
  </x18tc:threadedComment>
  <x18tc:threadedComment ref="D90" dT="2026-05-01T20:56:42.00" personId="{27e6ef4e-bb3b-4a37-8810-a7a64fde4a64}" id="{e0695c10-1df0-4eb4-b35d-a5aa99af6dc0}" done="0">
    <x18tc:text xml:space="preserve">joined 04/30</x18tc:text>
  </x18tc:threadedComment>
  <x18tc:threadedComment ref="D101" dT="2026-05-01T20:51:54.00" personId="{27e6ef4e-bb3b-4a37-8810-a7a64fde4a64}" id="{951c78ac-77ba-4543-8b0c-8848c26f0410}" done="0">
    <x18tc:text xml:space="preserve">joined 05/01</x18tc:text>
  </x18tc:threadedComment>
  <x18tc:threadedComment ref="D93" dT="2026-05-01T20:48:53.00" personId="{27e6ef4e-bb3b-4a37-8810-a7a64fde4a64}" id="{96abd43e-6e72-4dc3-b397-ccb23cb43962}" done="0">
    <x18tc:text xml:space="preserve">joined 05/01</x18tc:text>
  </x18tc:threadedComment>
  <x18tc:threadedComment ref="D100" dT="2026-05-01T20:51:39.00" personId="{27e6ef4e-bb3b-4a37-8810-a7a64fde4a64}" id="{420db481-4c04-4909-b78e-c1bc45c06ac6}" done="0">
    <x18tc:text xml:space="preserve">joined 05/01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4.88"/>
    <col customWidth="1" min="3" max="3" width="18.75"/>
    <col customWidth="1" min="4" max="6" width="22.63"/>
    <col customWidth="1" min="7" max="7" width="18.75"/>
    <col customWidth="1" min="8" max="12" width="22.63"/>
    <col customWidth="1" min="13" max="14" width="20.38"/>
    <col customWidth="1" min="15" max="15" width="18.63"/>
    <col customWidth="1" min="16" max="16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 t="s">
        <v>17</v>
      </c>
      <c r="B2" s="4">
        <v>9.4</v>
      </c>
      <c r="C2" s="5">
        <f t="shared" ref="C2:C84" si="1">B2/5</f>
        <v>1.88</v>
      </c>
      <c r="D2" s="5" t="str">
        <f t="shared" ref="D2:D3" si="2">IF(C2&gt;$C$104*1.3,"Top core",
 IF(C2&gt;=$C$104*1.1,"Good",
 IF(C2&gt;=$C$104*0.9,"Average",
 IF(C2&gt;=$C$104*0.7,"Below avg","Low"))))</f>
        <v>Top core</v>
      </c>
      <c r="E2" s="3" t="s">
        <v>17</v>
      </c>
      <c r="F2" s="4">
        <v>3.5</v>
      </c>
      <c r="G2" s="5">
        <f t="shared" ref="G2:G99" si="3">F2/2</f>
        <v>1.75</v>
      </c>
      <c r="H2" s="5" t="str">
        <f t="shared" ref="H2:H64" si="4">IF(G2&gt;$C$104*1.3,"Top core",
 IF(G2&gt;=$C$104*1.1,"Good",
 IF(G2&gt;=$C$104*0.9,"Average",
 IF(G2&gt;=$C$104*0.7,"Below avg","Low"))))</f>
        <v>Top core</v>
      </c>
      <c r="I2" s="3" t="s">
        <v>17</v>
      </c>
      <c r="J2" s="4">
        <v>9.1</v>
      </c>
      <c r="K2" s="5">
        <f t="shared" ref="K2:K101" si="5">J2/6</f>
        <v>1.516666667</v>
      </c>
      <c r="L2" s="5" t="str">
        <f t="shared" ref="L2:L64" si="6">IF(K2&gt;$C$104*1.3,"Top core",
 IF(K2&gt;=$C$104*1.1,"Good",
 IF(K2&gt;=$C$104*0.9,"Average",
 IF(K2&gt;=$C$104*0.7,"Below avg","Low"))))</f>
        <v>Top core</v>
      </c>
      <c r="M2" s="3" t="s">
        <v>17</v>
      </c>
      <c r="N2" s="4">
        <v>9.4</v>
      </c>
      <c r="O2" s="5">
        <f t="shared" ref="O2:O100" si="7">N2/6</f>
        <v>1.566666667</v>
      </c>
      <c r="P2" s="5" t="str">
        <f t="shared" ref="P2:P63" si="8">IF(O2&gt;$C$104*1.3,"Top core",
 IF(O2&gt;=$C$104*1.1,"Good",
 IF(O2&gt;=$C$104*0.9,"Average",
 IF(O2&gt;=$C$104*0.7,"Below avg","Low"))))</f>
        <v>Top core</v>
      </c>
      <c r="Q2" s="6"/>
    </row>
    <row r="3" ht="22.5" customHeight="1">
      <c r="A3" s="7" t="s">
        <v>18</v>
      </c>
      <c r="B3" s="4">
        <v>11.4</v>
      </c>
      <c r="C3" s="5">
        <f t="shared" si="1"/>
        <v>2.28</v>
      </c>
      <c r="D3" s="5" t="str">
        <f t="shared" si="2"/>
        <v>Top core</v>
      </c>
      <c r="E3" s="7" t="s">
        <v>18</v>
      </c>
      <c r="F3" s="4">
        <v>2.3</v>
      </c>
      <c r="G3" s="5">
        <f t="shared" si="3"/>
        <v>1.15</v>
      </c>
      <c r="H3" s="5" t="str">
        <f t="shared" si="4"/>
        <v>Good</v>
      </c>
      <c r="I3" s="7" t="s">
        <v>18</v>
      </c>
      <c r="J3" s="4">
        <v>7.4</v>
      </c>
      <c r="K3" s="5">
        <f t="shared" si="5"/>
        <v>1.233333333</v>
      </c>
      <c r="L3" s="5" t="str">
        <f t="shared" si="6"/>
        <v>Good</v>
      </c>
      <c r="M3" s="7" t="s">
        <v>18</v>
      </c>
      <c r="N3" s="4">
        <v>18.9</v>
      </c>
      <c r="O3" s="5">
        <f t="shared" si="7"/>
        <v>3.15</v>
      </c>
      <c r="P3" s="5" t="str">
        <f t="shared" si="8"/>
        <v>Top core</v>
      </c>
      <c r="Q3" s="6"/>
    </row>
    <row r="4" ht="22.5" customHeight="1">
      <c r="A4" s="7" t="s">
        <v>19</v>
      </c>
      <c r="B4" s="4">
        <v>8.6</v>
      </c>
      <c r="C4" s="5">
        <f t="shared" si="1"/>
        <v>1.72</v>
      </c>
      <c r="D4" s="5" t="str">
        <f t="shared" ref="D4:D12" si="9">IF(C4&gt;$C$103*1.3,"Top core",
 IF(C4&gt;=$C$103*1.1,"Good",
 IF(C4&gt;=$C$103*0.9,"Average",
 IF(C4&gt;=$C$103*0.7,"Below avg","Low"))))</f>
        <v>Top core</v>
      </c>
      <c r="E4" s="7" t="s">
        <v>20</v>
      </c>
      <c r="F4" s="4">
        <v>3.4</v>
      </c>
      <c r="G4" s="5">
        <f t="shared" si="3"/>
        <v>1.7</v>
      </c>
      <c r="H4" s="5" t="str">
        <f t="shared" si="4"/>
        <v>Top core</v>
      </c>
      <c r="I4" s="7" t="s">
        <v>20</v>
      </c>
      <c r="J4" s="4">
        <v>7.8</v>
      </c>
      <c r="K4" s="5">
        <f t="shared" si="5"/>
        <v>1.3</v>
      </c>
      <c r="L4" s="5" t="str">
        <f t="shared" si="6"/>
        <v>Good</v>
      </c>
      <c r="M4" s="7" t="s">
        <v>20</v>
      </c>
      <c r="N4" s="4">
        <v>9.4</v>
      </c>
      <c r="O4" s="5">
        <f t="shared" si="7"/>
        <v>1.566666667</v>
      </c>
      <c r="P4" s="5" t="str">
        <f t="shared" si="8"/>
        <v>Top core</v>
      </c>
      <c r="Q4" s="6"/>
    </row>
    <row r="5" ht="22.5" customHeight="1">
      <c r="A5" s="7" t="s">
        <v>21</v>
      </c>
      <c r="B5" s="4">
        <v>1.8</v>
      </c>
      <c r="C5" s="5">
        <f t="shared" si="1"/>
        <v>0.36</v>
      </c>
      <c r="D5" s="5" t="str">
        <f t="shared" si="9"/>
        <v>Below avg</v>
      </c>
      <c r="E5" s="7" t="s">
        <v>19</v>
      </c>
      <c r="F5" s="4">
        <v>0.0</v>
      </c>
      <c r="G5" s="5">
        <f t="shared" si="3"/>
        <v>0</v>
      </c>
      <c r="H5" s="5" t="str">
        <f t="shared" si="4"/>
        <v>Low</v>
      </c>
      <c r="I5" s="7" t="s">
        <v>19</v>
      </c>
      <c r="J5" s="4">
        <v>9.4</v>
      </c>
      <c r="K5" s="5">
        <f t="shared" si="5"/>
        <v>1.566666667</v>
      </c>
      <c r="L5" s="5" t="str">
        <f t="shared" si="6"/>
        <v>Top core</v>
      </c>
      <c r="M5" s="7" t="s">
        <v>19</v>
      </c>
      <c r="N5" s="4">
        <v>21.6</v>
      </c>
      <c r="O5" s="5">
        <f t="shared" si="7"/>
        <v>3.6</v>
      </c>
      <c r="P5" s="5" t="str">
        <f t="shared" si="8"/>
        <v>Top core</v>
      </c>
      <c r="Q5" s="6"/>
    </row>
    <row r="6" ht="22.5" customHeight="1">
      <c r="A6" s="7" t="s">
        <v>22</v>
      </c>
      <c r="B6" s="4">
        <v>4.6</v>
      </c>
      <c r="C6" s="5">
        <f t="shared" si="1"/>
        <v>0.92</v>
      </c>
      <c r="D6" s="5" t="str">
        <f t="shared" si="9"/>
        <v>Top core</v>
      </c>
      <c r="E6" s="7" t="s">
        <v>21</v>
      </c>
      <c r="F6" s="4">
        <v>1.8</v>
      </c>
      <c r="G6" s="5">
        <f t="shared" si="3"/>
        <v>0.9</v>
      </c>
      <c r="H6" s="5" t="str">
        <f t="shared" si="4"/>
        <v>Below avg</v>
      </c>
      <c r="I6" s="7" t="s">
        <v>21</v>
      </c>
      <c r="J6" s="4">
        <v>3.6</v>
      </c>
      <c r="K6" s="5">
        <f t="shared" si="5"/>
        <v>0.6</v>
      </c>
      <c r="L6" s="5" t="str">
        <f t="shared" si="6"/>
        <v>Low</v>
      </c>
      <c r="M6" s="7" t="s">
        <v>21</v>
      </c>
      <c r="N6" s="4">
        <v>3.6</v>
      </c>
      <c r="O6" s="5">
        <f t="shared" si="7"/>
        <v>0.6</v>
      </c>
      <c r="P6" s="5" t="str">
        <f t="shared" si="8"/>
        <v>Low</v>
      </c>
      <c r="Q6" s="6"/>
    </row>
    <row r="7" ht="22.5" customHeight="1">
      <c r="A7" s="7" t="s">
        <v>23</v>
      </c>
      <c r="B7" s="4">
        <v>6.8</v>
      </c>
      <c r="C7" s="5">
        <f t="shared" si="1"/>
        <v>1.36</v>
      </c>
      <c r="D7" s="5" t="str">
        <f t="shared" si="9"/>
        <v>Top core</v>
      </c>
      <c r="E7" s="7" t="s">
        <v>22</v>
      </c>
      <c r="F7" s="4">
        <v>0.0</v>
      </c>
      <c r="G7" s="5">
        <f t="shared" si="3"/>
        <v>0</v>
      </c>
      <c r="H7" s="5" t="str">
        <f t="shared" si="4"/>
        <v>Low</v>
      </c>
      <c r="I7" s="7" t="s">
        <v>22</v>
      </c>
      <c r="J7" s="4">
        <v>0.54</v>
      </c>
      <c r="K7" s="5">
        <f t="shared" si="5"/>
        <v>0.09</v>
      </c>
      <c r="L7" s="5" t="str">
        <f t="shared" si="6"/>
        <v>Low</v>
      </c>
      <c r="M7" s="7" t="s">
        <v>22</v>
      </c>
      <c r="N7" s="4">
        <v>0.0</v>
      </c>
      <c r="O7" s="5">
        <f t="shared" si="7"/>
        <v>0</v>
      </c>
      <c r="P7" s="5" t="str">
        <f t="shared" si="8"/>
        <v>Low</v>
      </c>
      <c r="Q7" s="6"/>
    </row>
    <row r="8" ht="22.5" customHeight="1">
      <c r="A8" s="7" t="s">
        <v>24</v>
      </c>
      <c r="B8" s="4">
        <v>1.4</v>
      </c>
      <c r="C8" s="5">
        <f t="shared" si="1"/>
        <v>0.28</v>
      </c>
      <c r="D8" s="5" t="str">
        <f t="shared" si="9"/>
        <v>Low</v>
      </c>
      <c r="E8" s="7" t="s">
        <v>23</v>
      </c>
      <c r="F8" s="4">
        <v>2.0</v>
      </c>
      <c r="G8" s="5">
        <f t="shared" si="3"/>
        <v>1</v>
      </c>
      <c r="H8" s="5" t="str">
        <f t="shared" si="4"/>
        <v>Average</v>
      </c>
      <c r="I8" s="7" t="s">
        <v>23</v>
      </c>
      <c r="J8" s="4">
        <v>7.3</v>
      </c>
      <c r="K8" s="5">
        <f t="shared" si="5"/>
        <v>1.216666667</v>
      </c>
      <c r="L8" s="5" t="str">
        <f t="shared" si="6"/>
        <v>Good</v>
      </c>
      <c r="M8" s="7" t="s">
        <v>23</v>
      </c>
      <c r="N8" s="4">
        <v>8.4</v>
      </c>
      <c r="O8" s="5">
        <f t="shared" si="7"/>
        <v>1.4</v>
      </c>
      <c r="P8" s="5" t="str">
        <f t="shared" si="8"/>
        <v>Top core</v>
      </c>
      <c r="Q8" s="6"/>
    </row>
    <row r="9" ht="22.5" customHeight="1">
      <c r="A9" s="7" t="s">
        <v>25</v>
      </c>
      <c r="B9" s="4">
        <v>7.6</v>
      </c>
      <c r="C9" s="5">
        <f t="shared" si="1"/>
        <v>1.52</v>
      </c>
      <c r="D9" s="5" t="str">
        <f t="shared" si="9"/>
        <v>Top core</v>
      </c>
      <c r="E9" s="7" t="s">
        <v>24</v>
      </c>
      <c r="F9" s="4">
        <v>0.57</v>
      </c>
      <c r="G9" s="5">
        <f t="shared" si="3"/>
        <v>0.285</v>
      </c>
      <c r="H9" s="5" t="str">
        <f t="shared" si="4"/>
        <v>Low</v>
      </c>
      <c r="I9" s="7" t="s">
        <v>24</v>
      </c>
      <c r="J9" s="4">
        <v>1.9</v>
      </c>
      <c r="K9" s="5">
        <f t="shared" si="5"/>
        <v>0.3166666667</v>
      </c>
      <c r="L9" s="5" t="str">
        <f t="shared" si="6"/>
        <v>Low</v>
      </c>
      <c r="M9" s="7" t="s">
        <v>24</v>
      </c>
      <c r="N9" s="4">
        <v>1.7</v>
      </c>
      <c r="O9" s="5">
        <f t="shared" si="7"/>
        <v>0.2833333333</v>
      </c>
      <c r="P9" s="5" t="str">
        <f t="shared" si="8"/>
        <v>Low</v>
      </c>
      <c r="Q9" s="6"/>
    </row>
    <row r="10" ht="22.5" customHeight="1">
      <c r="A10" s="7" t="s">
        <v>26</v>
      </c>
      <c r="B10" s="4">
        <v>19.3</v>
      </c>
      <c r="C10" s="5">
        <f t="shared" si="1"/>
        <v>3.86</v>
      </c>
      <c r="D10" s="5" t="str">
        <f t="shared" si="9"/>
        <v>Top core</v>
      </c>
      <c r="E10" s="7" t="s">
        <v>25</v>
      </c>
      <c r="F10" s="4">
        <v>2.2</v>
      </c>
      <c r="G10" s="5">
        <f t="shared" si="3"/>
        <v>1.1</v>
      </c>
      <c r="H10" s="5" t="str">
        <f t="shared" si="4"/>
        <v>Average</v>
      </c>
      <c r="I10" s="7" t="s">
        <v>25</v>
      </c>
      <c r="J10" s="4">
        <v>5.6</v>
      </c>
      <c r="K10" s="5">
        <f t="shared" si="5"/>
        <v>0.9333333333</v>
      </c>
      <c r="L10" s="5" t="str">
        <f t="shared" si="6"/>
        <v>Average</v>
      </c>
      <c r="M10" s="7" t="s">
        <v>25</v>
      </c>
      <c r="N10" s="4">
        <v>8.9</v>
      </c>
      <c r="O10" s="5">
        <f t="shared" si="7"/>
        <v>1.483333333</v>
      </c>
      <c r="P10" s="5" t="str">
        <f t="shared" si="8"/>
        <v>Top core</v>
      </c>
      <c r="Q10" s="6"/>
    </row>
    <row r="11" ht="22.5" customHeight="1">
      <c r="A11" s="7" t="s">
        <v>27</v>
      </c>
      <c r="B11" s="4">
        <v>5.5</v>
      </c>
      <c r="C11" s="5">
        <f t="shared" si="1"/>
        <v>1.1</v>
      </c>
      <c r="D11" s="5" t="str">
        <f t="shared" si="9"/>
        <v>Top core</v>
      </c>
      <c r="E11" s="7" t="s">
        <v>26</v>
      </c>
      <c r="F11" s="4">
        <v>8.4</v>
      </c>
      <c r="G11" s="5">
        <f t="shared" si="3"/>
        <v>4.2</v>
      </c>
      <c r="H11" s="5" t="str">
        <f t="shared" si="4"/>
        <v>Top core</v>
      </c>
      <c r="I11" s="7" t="s">
        <v>26</v>
      </c>
      <c r="J11" s="4">
        <v>20.4</v>
      </c>
      <c r="K11" s="5">
        <f t="shared" si="5"/>
        <v>3.4</v>
      </c>
      <c r="L11" s="5" t="str">
        <f t="shared" si="6"/>
        <v>Top core</v>
      </c>
      <c r="M11" s="7" t="s">
        <v>26</v>
      </c>
      <c r="N11" s="4">
        <v>21.4</v>
      </c>
      <c r="O11" s="5">
        <f t="shared" si="7"/>
        <v>3.566666667</v>
      </c>
      <c r="P11" s="5" t="str">
        <f t="shared" si="8"/>
        <v>Top core</v>
      </c>
      <c r="Q11" s="6"/>
    </row>
    <row r="12" ht="22.5" customHeight="1">
      <c r="A12" s="8" t="s">
        <v>28</v>
      </c>
      <c r="B12" s="4">
        <v>11.6</v>
      </c>
      <c r="C12" s="5">
        <f t="shared" si="1"/>
        <v>2.32</v>
      </c>
      <c r="D12" s="5" t="str">
        <f t="shared" si="9"/>
        <v>Top core</v>
      </c>
      <c r="E12" s="7" t="s">
        <v>27</v>
      </c>
      <c r="F12" s="4">
        <v>1.6</v>
      </c>
      <c r="G12" s="5">
        <f t="shared" si="3"/>
        <v>0.8</v>
      </c>
      <c r="H12" s="5" t="str">
        <f t="shared" si="4"/>
        <v>Below avg</v>
      </c>
      <c r="I12" s="7" t="s">
        <v>27</v>
      </c>
      <c r="J12" s="4">
        <v>4.8</v>
      </c>
      <c r="K12" s="5">
        <f t="shared" si="5"/>
        <v>0.8</v>
      </c>
      <c r="L12" s="5" t="str">
        <f t="shared" si="6"/>
        <v>Below avg</v>
      </c>
      <c r="M12" s="7" t="s">
        <v>29</v>
      </c>
      <c r="N12" s="4">
        <v>30.5</v>
      </c>
      <c r="O12" s="5">
        <f t="shared" si="7"/>
        <v>5.083333333</v>
      </c>
      <c r="P12" s="5" t="str">
        <f t="shared" si="8"/>
        <v>Top core</v>
      </c>
      <c r="Q12" s="6"/>
    </row>
    <row r="13" ht="22.5" customHeight="1">
      <c r="A13" s="8" t="s">
        <v>30</v>
      </c>
      <c r="B13" s="4"/>
      <c r="C13" s="5">
        <f t="shared" si="1"/>
        <v>0</v>
      </c>
      <c r="D13" s="5" t="str">
        <f t="shared" ref="D13:D60" si="10">IF(C13&gt;$C$102*1.3,"Top core",
 IF(C13&gt;=$C$102*1.1,"Good",
 IF(C13&gt;=$C$102*0.9,"Average",
 IF(C13&gt;=$C$102*0.7,"Below avg","Low"))))</f>
        <v>Good</v>
      </c>
      <c r="E13" s="8" t="s">
        <v>31</v>
      </c>
      <c r="F13" s="4"/>
      <c r="G13" s="5">
        <f t="shared" si="3"/>
        <v>0</v>
      </c>
      <c r="H13" s="5" t="str">
        <f t="shared" si="4"/>
        <v>Low</v>
      </c>
      <c r="I13" s="7" t="s">
        <v>29</v>
      </c>
      <c r="J13" s="4">
        <v>18.0</v>
      </c>
      <c r="K13" s="5">
        <f t="shared" si="5"/>
        <v>3</v>
      </c>
      <c r="L13" s="5" t="str">
        <f t="shared" si="6"/>
        <v>Top core</v>
      </c>
      <c r="M13" s="8" t="s">
        <v>27</v>
      </c>
      <c r="N13" s="4">
        <v>4.2</v>
      </c>
      <c r="O13" s="5">
        <f t="shared" si="7"/>
        <v>0.7</v>
      </c>
      <c r="P13" s="5" t="str">
        <f t="shared" si="8"/>
        <v>Low</v>
      </c>
      <c r="Q13" s="9" t="s">
        <v>32</v>
      </c>
    </row>
    <row r="14" ht="22.5" customHeight="1">
      <c r="A14" s="8"/>
      <c r="B14" s="4"/>
      <c r="C14" s="5">
        <f t="shared" si="1"/>
        <v>0</v>
      </c>
      <c r="D14" s="5" t="str">
        <f t="shared" si="10"/>
        <v>Good</v>
      </c>
      <c r="E14" s="8"/>
      <c r="F14" s="4"/>
      <c r="G14" s="5">
        <f t="shared" si="3"/>
        <v>0</v>
      </c>
      <c r="H14" s="5" t="str">
        <f t="shared" si="4"/>
        <v>Low</v>
      </c>
      <c r="I14" s="8"/>
      <c r="J14" s="4"/>
      <c r="K14" s="5">
        <f t="shared" si="5"/>
        <v>0</v>
      </c>
      <c r="L14" s="5" t="str">
        <f t="shared" si="6"/>
        <v>Low</v>
      </c>
      <c r="M14" s="8" t="s">
        <v>31</v>
      </c>
      <c r="N14" s="4">
        <v>29.0</v>
      </c>
      <c r="O14" s="5">
        <f t="shared" si="7"/>
        <v>4.833333333</v>
      </c>
      <c r="P14" s="5" t="str">
        <f t="shared" si="8"/>
        <v>Top core</v>
      </c>
      <c r="Q14" s="6"/>
    </row>
    <row r="15" ht="22.5" customHeight="1">
      <c r="A15" s="8" t="s">
        <v>33</v>
      </c>
      <c r="B15" s="4">
        <v>20.7</v>
      </c>
      <c r="C15" s="5">
        <f t="shared" si="1"/>
        <v>4.14</v>
      </c>
      <c r="D15" s="5" t="str">
        <f t="shared" si="10"/>
        <v>Top core</v>
      </c>
      <c r="E15" s="8" t="s">
        <v>28</v>
      </c>
      <c r="F15" s="4">
        <v>14.2</v>
      </c>
      <c r="G15" s="5">
        <f t="shared" si="3"/>
        <v>7.1</v>
      </c>
      <c r="H15" s="5" t="str">
        <f t="shared" si="4"/>
        <v>Top core</v>
      </c>
      <c r="I15" s="8" t="s">
        <v>31</v>
      </c>
      <c r="J15" s="4">
        <v>28.6</v>
      </c>
      <c r="K15" s="5">
        <f t="shared" si="5"/>
        <v>4.766666667</v>
      </c>
      <c r="L15" s="5" t="str">
        <f t="shared" si="6"/>
        <v>Top core</v>
      </c>
      <c r="M15" s="8" t="s">
        <v>28</v>
      </c>
      <c r="N15" s="4">
        <v>19.0</v>
      </c>
      <c r="O15" s="5">
        <f t="shared" si="7"/>
        <v>3.166666667</v>
      </c>
      <c r="P15" s="5" t="str">
        <f t="shared" si="8"/>
        <v>Top core</v>
      </c>
      <c r="Q15" s="6"/>
    </row>
    <row r="16" ht="22.5" customHeight="1">
      <c r="A16" s="8" t="s">
        <v>34</v>
      </c>
      <c r="B16" s="4">
        <v>14.0</v>
      </c>
      <c r="C16" s="5">
        <f t="shared" si="1"/>
        <v>2.8</v>
      </c>
      <c r="D16" s="5" t="str">
        <f t="shared" si="10"/>
        <v>Top core</v>
      </c>
      <c r="E16" s="8" t="s">
        <v>30</v>
      </c>
      <c r="F16" s="4">
        <v>4.6</v>
      </c>
      <c r="G16" s="5">
        <f t="shared" si="3"/>
        <v>2.3</v>
      </c>
      <c r="H16" s="5" t="str">
        <f t="shared" si="4"/>
        <v>Top core</v>
      </c>
      <c r="I16" s="8" t="s">
        <v>28</v>
      </c>
      <c r="J16" s="4">
        <v>14.5</v>
      </c>
      <c r="K16" s="5">
        <f t="shared" si="5"/>
        <v>2.416666667</v>
      </c>
      <c r="L16" s="5" t="str">
        <f t="shared" si="6"/>
        <v>Top core</v>
      </c>
      <c r="M16" s="8" t="s">
        <v>30</v>
      </c>
      <c r="N16" s="4">
        <v>30.0</v>
      </c>
      <c r="O16" s="5">
        <f t="shared" si="7"/>
        <v>5</v>
      </c>
      <c r="P16" s="5" t="str">
        <f t="shared" si="8"/>
        <v>Top core</v>
      </c>
      <c r="Q16" s="6"/>
    </row>
    <row r="17" ht="22.5" customHeight="1">
      <c r="A17" s="8" t="s">
        <v>35</v>
      </c>
      <c r="B17" s="4">
        <v>1.4</v>
      </c>
      <c r="C17" s="5">
        <f t="shared" si="1"/>
        <v>0.28</v>
      </c>
      <c r="D17" s="5" t="str">
        <f t="shared" si="10"/>
        <v>Top core</v>
      </c>
      <c r="E17" s="8" t="s">
        <v>33</v>
      </c>
      <c r="F17" s="4">
        <v>7.8</v>
      </c>
      <c r="G17" s="5">
        <f t="shared" si="3"/>
        <v>3.9</v>
      </c>
      <c r="H17" s="5" t="str">
        <f t="shared" si="4"/>
        <v>Top core</v>
      </c>
      <c r="I17" s="8" t="s">
        <v>30</v>
      </c>
      <c r="J17" s="4">
        <v>22.2</v>
      </c>
      <c r="K17" s="5">
        <f t="shared" si="5"/>
        <v>3.7</v>
      </c>
      <c r="L17" s="5" t="str">
        <f t="shared" si="6"/>
        <v>Top core</v>
      </c>
      <c r="M17" s="8" t="s">
        <v>33</v>
      </c>
      <c r="N17" s="4">
        <v>20.3</v>
      </c>
      <c r="O17" s="5">
        <f t="shared" si="7"/>
        <v>3.383333333</v>
      </c>
      <c r="P17" s="5" t="str">
        <f t="shared" si="8"/>
        <v>Top core</v>
      </c>
      <c r="Q17" s="6"/>
    </row>
    <row r="18" ht="22.5" customHeight="1">
      <c r="A18" s="8" t="s">
        <v>36</v>
      </c>
      <c r="B18" s="4">
        <v>3.5</v>
      </c>
      <c r="C18" s="5">
        <f t="shared" si="1"/>
        <v>0.7</v>
      </c>
      <c r="D18" s="5" t="str">
        <f t="shared" si="10"/>
        <v>Top core</v>
      </c>
      <c r="E18" s="8" t="s">
        <v>34</v>
      </c>
      <c r="F18" s="4">
        <v>7.4</v>
      </c>
      <c r="G18" s="5">
        <f t="shared" si="3"/>
        <v>3.7</v>
      </c>
      <c r="H18" s="5" t="str">
        <f t="shared" si="4"/>
        <v>Top core</v>
      </c>
      <c r="I18" s="8" t="s">
        <v>33</v>
      </c>
      <c r="J18" s="4">
        <v>20.0</v>
      </c>
      <c r="K18" s="5">
        <f t="shared" si="5"/>
        <v>3.333333333</v>
      </c>
      <c r="L18" s="5" t="str">
        <f t="shared" si="6"/>
        <v>Top core</v>
      </c>
      <c r="M18" s="8" t="s">
        <v>34</v>
      </c>
      <c r="N18" s="4">
        <v>2.4</v>
      </c>
      <c r="O18" s="5">
        <f t="shared" si="7"/>
        <v>0.4</v>
      </c>
      <c r="P18" s="5" t="str">
        <f t="shared" si="8"/>
        <v>Low</v>
      </c>
      <c r="Q18" s="6"/>
    </row>
    <row r="19" ht="22.5" customHeight="1">
      <c r="A19" s="8" t="s">
        <v>37</v>
      </c>
      <c r="B19" s="4">
        <v>9.5</v>
      </c>
      <c r="C19" s="5">
        <f t="shared" si="1"/>
        <v>1.9</v>
      </c>
      <c r="D19" s="5" t="str">
        <f t="shared" si="10"/>
        <v>Top core</v>
      </c>
      <c r="E19" s="8" t="s">
        <v>35</v>
      </c>
      <c r="F19" s="4">
        <v>0.335</v>
      </c>
      <c r="G19" s="5">
        <f t="shared" si="3"/>
        <v>0.1675</v>
      </c>
      <c r="H19" s="5" t="str">
        <f t="shared" si="4"/>
        <v>Low</v>
      </c>
      <c r="I19" s="8" t="s">
        <v>34</v>
      </c>
      <c r="J19" s="4">
        <v>2.0</v>
      </c>
      <c r="K19" s="5">
        <f t="shared" si="5"/>
        <v>0.3333333333</v>
      </c>
      <c r="L19" s="5" t="str">
        <f t="shared" si="6"/>
        <v>Low</v>
      </c>
      <c r="M19" s="8" t="s">
        <v>35</v>
      </c>
      <c r="N19" s="4">
        <v>2.6</v>
      </c>
      <c r="O19" s="5">
        <f t="shared" si="7"/>
        <v>0.4333333333</v>
      </c>
      <c r="P19" s="5" t="str">
        <f t="shared" si="8"/>
        <v>Low</v>
      </c>
      <c r="Q19" s="6"/>
    </row>
    <row r="20" ht="22.5" customHeight="1">
      <c r="A20" s="8" t="s">
        <v>38</v>
      </c>
      <c r="B20" s="4">
        <v>5.3</v>
      </c>
      <c r="C20" s="5">
        <f t="shared" si="1"/>
        <v>1.06</v>
      </c>
      <c r="D20" s="5" t="str">
        <f t="shared" si="10"/>
        <v>Top core</v>
      </c>
      <c r="E20" s="8" t="s">
        <v>36</v>
      </c>
      <c r="F20" s="4">
        <v>0.219</v>
      </c>
      <c r="G20" s="5">
        <f t="shared" si="3"/>
        <v>0.1095</v>
      </c>
      <c r="H20" s="5" t="str">
        <f t="shared" si="4"/>
        <v>Low</v>
      </c>
      <c r="I20" s="8" t="s">
        <v>35</v>
      </c>
      <c r="J20" s="4">
        <v>1.6</v>
      </c>
      <c r="K20" s="5">
        <f t="shared" si="5"/>
        <v>0.2666666667</v>
      </c>
      <c r="L20" s="5" t="str">
        <f t="shared" si="6"/>
        <v>Low</v>
      </c>
      <c r="M20" s="8" t="s">
        <v>36</v>
      </c>
      <c r="N20" s="4">
        <v>0.177</v>
      </c>
      <c r="O20" s="5">
        <f t="shared" si="7"/>
        <v>0.0295</v>
      </c>
      <c r="P20" s="5" t="str">
        <f t="shared" si="8"/>
        <v>Low</v>
      </c>
      <c r="Q20" s="6"/>
    </row>
    <row r="21" ht="22.5" customHeight="1">
      <c r="A21" s="8" t="s">
        <v>39</v>
      </c>
      <c r="B21" s="4">
        <v>1.6</v>
      </c>
      <c r="C21" s="5">
        <f t="shared" si="1"/>
        <v>0.32</v>
      </c>
      <c r="D21" s="5" t="str">
        <f t="shared" si="10"/>
        <v>Top core</v>
      </c>
      <c r="E21" s="8" t="s">
        <v>37</v>
      </c>
      <c r="F21" s="4">
        <v>4.1</v>
      </c>
      <c r="G21" s="5">
        <f t="shared" si="3"/>
        <v>2.05</v>
      </c>
      <c r="H21" s="5" t="str">
        <f t="shared" si="4"/>
        <v>Top core</v>
      </c>
      <c r="I21" s="8" t="s">
        <v>36</v>
      </c>
      <c r="J21" s="4">
        <v>15.0</v>
      </c>
      <c r="K21" s="5">
        <f t="shared" si="5"/>
        <v>2.5</v>
      </c>
      <c r="L21" s="5" t="str">
        <f t="shared" si="6"/>
        <v>Top core</v>
      </c>
      <c r="M21" s="8" t="s">
        <v>37</v>
      </c>
      <c r="N21" s="4">
        <v>11.5</v>
      </c>
      <c r="O21" s="5">
        <f t="shared" si="7"/>
        <v>1.916666667</v>
      </c>
      <c r="P21" s="5" t="str">
        <f t="shared" si="8"/>
        <v>Top core</v>
      </c>
      <c r="Q21" s="6"/>
    </row>
    <row r="22" ht="22.5" customHeight="1">
      <c r="A22" s="8" t="s">
        <v>40</v>
      </c>
      <c r="B22" s="4">
        <v>7.6</v>
      </c>
      <c r="C22" s="5">
        <f t="shared" si="1"/>
        <v>1.52</v>
      </c>
      <c r="D22" s="5" t="str">
        <f t="shared" si="10"/>
        <v>Top core</v>
      </c>
      <c r="E22" s="8" t="s">
        <v>38</v>
      </c>
      <c r="F22" s="4">
        <v>2.7</v>
      </c>
      <c r="G22" s="5">
        <f t="shared" si="3"/>
        <v>1.35</v>
      </c>
      <c r="H22" s="5" t="str">
        <f t="shared" si="4"/>
        <v>Top core</v>
      </c>
      <c r="I22" s="8" t="s">
        <v>37</v>
      </c>
      <c r="J22" s="4">
        <v>7.2</v>
      </c>
      <c r="K22" s="5">
        <f t="shared" si="5"/>
        <v>1.2</v>
      </c>
      <c r="L22" s="5" t="str">
        <f t="shared" si="6"/>
        <v>Good</v>
      </c>
      <c r="M22" s="8" t="s">
        <v>38</v>
      </c>
      <c r="N22" s="4">
        <v>3.5</v>
      </c>
      <c r="O22" s="5">
        <f t="shared" si="7"/>
        <v>0.5833333333</v>
      </c>
      <c r="P22" s="5" t="str">
        <f t="shared" si="8"/>
        <v>Low</v>
      </c>
      <c r="Q22" s="6"/>
    </row>
    <row r="23" ht="22.5" customHeight="1">
      <c r="A23" s="8" t="s">
        <v>41</v>
      </c>
      <c r="B23" s="4">
        <v>8.6</v>
      </c>
      <c r="C23" s="5">
        <f t="shared" si="1"/>
        <v>1.72</v>
      </c>
      <c r="D23" s="5" t="str">
        <f t="shared" si="10"/>
        <v>Top core</v>
      </c>
      <c r="E23" s="8" t="s">
        <v>39</v>
      </c>
      <c r="F23" s="4">
        <v>0.431</v>
      </c>
      <c r="G23" s="5">
        <f t="shared" si="3"/>
        <v>0.2155</v>
      </c>
      <c r="H23" s="5" t="str">
        <f t="shared" si="4"/>
        <v>Low</v>
      </c>
      <c r="I23" s="8" t="s">
        <v>38</v>
      </c>
      <c r="J23" s="4">
        <v>1.9</v>
      </c>
      <c r="K23" s="5">
        <f t="shared" si="5"/>
        <v>0.3166666667</v>
      </c>
      <c r="L23" s="5" t="str">
        <f t="shared" si="6"/>
        <v>Low</v>
      </c>
      <c r="M23" s="8" t="s">
        <v>39</v>
      </c>
      <c r="N23" s="4">
        <v>12.2</v>
      </c>
      <c r="O23" s="5">
        <f t="shared" si="7"/>
        <v>2.033333333</v>
      </c>
      <c r="P23" s="5" t="str">
        <f t="shared" si="8"/>
        <v>Top core</v>
      </c>
      <c r="Q23" s="6"/>
    </row>
    <row r="24" ht="22.5" customHeight="1">
      <c r="A24" s="8" t="s">
        <v>42</v>
      </c>
      <c r="B24" s="4">
        <v>1.7</v>
      </c>
      <c r="C24" s="5">
        <f t="shared" si="1"/>
        <v>0.34</v>
      </c>
      <c r="D24" s="5" t="str">
        <f t="shared" si="10"/>
        <v>Top core</v>
      </c>
      <c r="E24" s="8" t="s">
        <v>40</v>
      </c>
      <c r="F24" s="4">
        <v>2.6</v>
      </c>
      <c r="G24" s="5">
        <f t="shared" si="3"/>
        <v>1.3</v>
      </c>
      <c r="H24" s="5" t="str">
        <f t="shared" si="4"/>
        <v>Good</v>
      </c>
      <c r="I24" s="8" t="s">
        <v>39</v>
      </c>
      <c r="J24" s="4">
        <v>10.6</v>
      </c>
      <c r="K24" s="5">
        <f t="shared" si="5"/>
        <v>1.766666667</v>
      </c>
      <c r="L24" s="5" t="str">
        <f t="shared" si="6"/>
        <v>Top core</v>
      </c>
      <c r="M24" s="8" t="s">
        <v>40</v>
      </c>
      <c r="N24" s="4">
        <v>15.8</v>
      </c>
      <c r="O24" s="5">
        <f t="shared" si="7"/>
        <v>2.633333333</v>
      </c>
      <c r="P24" s="5" t="str">
        <f t="shared" si="8"/>
        <v>Top core</v>
      </c>
      <c r="Q24" s="6"/>
    </row>
    <row r="25" ht="22.5" customHeight="1">
      <c r="A25" s="8" t="s">
        <v>43</v>
      </c>
      <c r="B25" s="4">
        <v>20.6</v>
      </c>
      <c r="C25" s="5">
        <f t="shared" si="1"/>
        <v>4.12</v>
      </c>
      <c r="D25" s="5" t="str">
        <f t="shared" si="10"/>
        <v>Top core</v>
      </c>
      <c r="E25" s="8" t="s">
        <v>41</v>
      </c>
      <c r="F25" s="4">
        <v>1.6</v>
      </c>
      <c r="G25" s="5">
        <f t="shared" si="3"/>
        <v>0.8</v>
      </c>
      <c r="H25" s="5" t="str">
        <f t="shared" si="4"/>
        <v>Below avg</v>
      </c>
      <c r="I25" s="8" t="s">
        <v>40</v>
      </c>
      <c r="J25" s="4">
        <v>8.1</v>
      </c>
      <c r="K25" s="5">
        <f t="shared" si="5"/>
        <v>1.35</v>
      </c>
      <c r="L25" s="5" t="str">
        <f t="shared" si="6"/>
        <v>Top core</v>
      </c>
      <c r="M25" s="8" t="s">
        <v>41</v>
      </c>
      <c r="N25" s="4">
        <v>1.5</v>
      </c>
      <c r="O25" s="5">
        <f t="shared" si="7"/>
        <v>0.25</v>
      </c>
      <c r="P25" s="5" t="str">
        <f t="shared" si="8"/>
        <v>Low</v>
      </c>
      <c r="Q25" s="6"/>
    </row>
    <row r="26" ht="22.5" customHeight="1">
      <c r="A26" s="8" t="s">
        <v>44</v>
      </c>
      <c r="B26" s="4">
        <v>7.9</v>
      </c>
      <c r="C26" s="5">
        <f t="shared" si="1"/>
        <v>1.58</v>
      </c>
      <c r="D26" s="5" t="str">
        <f t="shared" si="10"/>
        <v>Top core</v>
      </c>
      <c r="E26" s="8" t="s">
        <v>42</v>
      </c>
      <c r="F26" s="4">
        <v>0.208</v>
      </c>
      <c r="G26" s="5">
        <f t="shared" si="3"/>
        <v>0.104</v>
      </c>
      <c r="H26" s="5" t="str">
        <f t="shared" si="4"/>
        <v>Low</v>
      </c>
      <c r="I26" s="8" t="s">
        <v>41</v>
      </c>
      <c r="J26" s="4">
        <v>2.5</v>
      </c>
      <c r="K26" s="5">
        <f t="shared" si="5"/>
        <v>0.4166666667</v>
      </c>
      <c r="L26" s="5" t="str">
        <f t="shared" si="6"/>
        <v>Low</v>
      </c>
      <c r="M26" s="8" t="s">
        <v>42</v>
      </c>
      <c r="N26" s="4">
        <v>24.0</v>
      </c>
      <c r="O26" s="5">
        <f t="shared" si="7"/>
        <v>4</v>
      </c>
      <c r="P26" s="5" t="str">
        <f t="shared" si="8"/>
        <v>Top core</v>
      </c>
      <c r="Q26" s="6"/>
    </row>
    <row r="27" ht="22.5" customHeight="1">
      <c r="A27" s="8" t="s">
        <v>45</v>
      </c>
      <c r="B27" s="4">
        <v>3.7</v>
      </c>
      <c r="C27" s="5">
        <f t="shared" si="1"/>
        <v>0.74</v>
      </c>
      <c r="D27" s="5" t="str">
        <f t="shared" si="10"/>
        <v>Top core</v>
      </c>
      <c r="E27" s="8" t="s">
        <v>43</v>
      </c>
      <c r="F27" s="4">
        <v>8.2</v>
      </c>
      <c r="G27" s="5">
        <f t="shared" si="3"/>
        <v>4.1</v>
      </c>
      <c r="H27" s="5" t="str">
        <f t="shared" si="4"/>
        <v>Top core</v>
      </c>
      <c r="I27" s="8" t="s">
        <v>42</v>
      </c>
      <c r="J27" s="4">
        <v>23.1</v>
      </c>
      <c r="K27" s="5">
        <f t="shared" si="5"/>
        <v>3.85</v>
      </c>
      <c r="L27" s="5" t="str">
        <f t="shared" si="6"/>
        <v>Top core</v>
      </c>
      <c r="M27" s="8" t="s">
        <v>43</v>
      </c>
      <c r="N27" s="4">
        <v>11.0</v>
      </c>
      <c r="O27" s="5">
        <f t="shared" si="7"/>
        <v>1.833333333</v>
      </c>
      <c r="P27" s="5" t="str">
        <f t="shared" si="8"/>
        <v>Top core</v>
      </c>
      <c r="Q27" s="6"/>
    </row>
    <row r="28" ht="22.5" customHeight="1">
      <c r="A28" s="8" t="s">
        <v>46</v>
      </c>
      <c r="B28" s="4">
        <v>1.5</v>
      </c>
      <c r="C28" s="5">
        <f t="shared" si="1"/>
        <v>0.3</v>
      </c>
      <c r="D28" s="5" t="str">
        <f t="shared" si="10"/>
        <v>Top core</v>
      </c>
      <c r="E28" s="8" t="s">
        <v>44</v>
      </c>
      <c r="F28" s="4">
        <v>5.2</v>
      </c>
      <c r="G28" s="5">
        <f t="shared" si="3"/>
        <v>2.6</v>
      </c>
      <c r="H28" s="5" t="str">
        <f t="shared" si="4"/>
        <v>Top core</v>
      </c>
      <c r="I28" s="8" t="s">
        <v>43</v>
      </c>
      <c r="J28" s="4">
        <v>11.4</v>
      </c>
      <c r="K28" s="5">
        <f t="shared" si="5"/>
        <v>1.9</v>
      </c>
      <c r="L28" s="5" t="str">
        <f t="shared" si="6"/>
        <v>Top core</v>
      </c>
      <c r="M28" s="8" t="s">
        <v>44</v>
      </c>
      <c r="N28" s="4">
        <v>2.0</v>
      </c>
      <c r="O28" s="5">
        <f t="shared" si="7"/>
        <v>0.3333333333</v>
      </c>
      <c r="P28" s="5" t="str">
        <f t="shared" si="8"/>
        <v>Low</v>
      </c>
      <c r="Q28" s="6"/>
    </row>
    <row r="29" ht="22.5" customHeight="1">
      <c r="A29" s="8" t="s">
        <v>47</v>
      </c>
      <c r="B29" s="4">
        <v>7.4</v>
      </c>
      <c r="C29" s="5">
        <f t="shared" si="1"/>
        <v>1.48</v>
      </c>
      <c r="D29" s="5" t="str">
        <f t="shared" si="10"/>
        <v>Top core</v>
      </c>
      <c r="E29" s="8" t="s">
        <v>45</v>
      </c>
      <c r="F29" s="4">
        <v>0.0</v>
      </c>
      <c r="G29" s="5">
        <f t="shared" si="3"/>
        <v>0</v>
      </c>
      <c r="H29" s="5" t="str">
        <f t="shared" si="4"/>
        <v>Low</v>
      </c>
      <c r="I29" s="8" t="s">
        <v>44</v>
      </c>
      <c r="J29" s="4">
        <v>0.0</v>
      </c>
      <c r="K29" s="5">
        <f t="shared" si="5"/>
        <v>0</v>
      </c>
      <c r="L29" s="5" t="str">
        <f t="shared" si="6"/>
        <v>Low</v>
      </c>
      <c r="M29" s="8" t="s">
        <v>45</v>
      </c>
      <c r="N29" s="4">
        <v>3.0</v>
      </c>
      <c r="O29" s="5">
        <f t="shared" si="7"/>
        <v>0.5</v>
      </c>
      <c r="P29" s="5" t="str">
        <f t="shared" si="8"/>
        <v>Low</v>
      </c>
      <c r="Q29" s="6"/>
    </row>
    <row r="30" ht="22.5" customHeight="1">
      <c r="A30" s="8" t="s">
        <v>48</v>
      </c>
      <c r="B30" s="4">
        <v>10.5</v>
      </c>
      <c r="C30" s="5">
        <f t="shared" si="1"/>
        <v>2.1</v>
      </c>
      <c r="D30" s="5" t="str">
        <f t="shared" si="10"/>
        <v>Top core</v>
      </c>
      <c r="E30" s="8" t="s">
        <v>49</v>
      </c>
      <c r="F30" s="4">
        <v>0.202</v>
      </c>
      <c r="G30" s="5">
        <f t="shared" si="3"/>
        <v>0.101</v>
      </c>
      <c r="H30" s="5" t="str">
        <f t="shared" si="4"/>
        <v>Low</v>
      </c>
      <c r="I30" s="8" t="s">
        <v>45</v>
      </c>
      <c r="J30" s="4">
        <v>1.7</v>
      </c>
      <c r="K30" s="5">
        <f t="shared" si="5"/>
        <v>0.2833333333</v>
      </c>
      <c r="L30" s="5" t="str">
        <f t="shared" si="6"/>
        <v>Low</v>
      </c>
      <c r="M30" s="8" t="s">
        <v>49</v>
      </c>
      <c r="N30" s="4">
        <v>12.8</v>
      </c>
      <c r="O30" s="5">
        <f t="shared" si="7"/>
        <v>2.133333333</v>
      </c>
      <c r="P30" s="5" t="str">
        <f t="shared" si="8"/>
        <v>Top core</v>
      </c>
      <c r="Q30" s="6"/>
    </row>
    <row r="31" ht="22.5" customHeight="1">
      <c r="A31" s="8" t="s">
        <v>50</v>
      </c>
      <c r="B31" s="4">
        <v>2.6</v>
      </c>
      <c r="C31" s="5">
        <f t="shared" si="1"/>
        <v>0.52</v>
      </c>
      <c r="D31" s="5" t="str">
        <f t="shared" si="10"/>
        <v>Top core</v>
      </c>
      <c r="E31" s="8" t="s">
        <v>47</v>
      </c>
      <c r="F31" s="4">
        <v>2.0</v>
      </c>
      <c r="G31" s="5">
        <f t="shared" si="3"/>
        <v>1</v>
      </c>
      <c r="H31" s="5" t="str">
        <f t="shared" si="4"/>
        <v>Average</v>
      </c>
      <c r="I31" s="8" t="s">
        <v>49</v>
      </c>
      <c r="J31" s="4">
        <v>5.8</v>
      </c>
      <c r="K31" s="5">
        <f t="shared" si="5"/>
        <v>0.9666666667</v>
      </c>
      <c r="L31" s="5" t="str">
        <f t="shared" si="6"/>
        <v>Average</v>
      </c>
      <c r="M31" s="8" t="s">
        <v>47</v>
      </c>
      <c r="N31" s="4">
        <v>18.1</v>
      </c>
      <c r="O31" s="5">
        <f t="shared" si="7"/>
        <v>3.016666667</v>
      </c>
      <c r="P31" s="5" t="str">
        <f t="shared" si="8"/>
        <v>Top core</v>
      </c>
      <c r="Q31" s="6"/>
    </row>
    <row r="32" ht="22.5" customHeight="1">
      <c r="A32" s="8" t="s">
        <v>51</v>
      </c>
      <c r="B32" s="4">
        <v>5.4</v>
      </c>
      <c r="C32" s="5">
        <f t="shared" si="1"/>
        <v>1.08</v>
      </c>
      <c r="D32" s="5" t="str">
        <f t="shared" si="10"/>
        <v>Top core</v>
      </c>
      <c r="E32" s="8" t="s">
        <v>48</v>
      </c>
      <c r="F32" s="4">
        <v>7.1</v>
      </c>
      <c r="G32" s="5">
        <f t="shared" si="3"/>
        <v>3.55</v>
      </c>
      <c r="H32" s="5" t="str">
        <f t="shared" si="4"/>
        <v>Top core</v>
      </c>
      <c r="I32" s="8" t="s">
        <v>47</v>
      </c>
      <c r="J32" s="4">
        <v>16.3</v>
      </c>
      <c r="K32" s="5">
        <f t="shared" si="5"/>
        <v>2.716666667</v>
      </c>
      <c r="L32" s="5" t="str">
        <f t="shared" si="6"/>
        <v>Top core</v>
      </c>
      <c r="M32" s="8" t="s">
        <v>48</v>
      </c>
      <c r="N32" s="4">
        <v>4.3</v>
      </c>
      <c r="O32" s="5">
        <f t="shared" si="7"/>
        <v>0.7166666667</v>
      </c>
      <c r="P32" s="5" t="str">
        <f t="shared" si="8"/>
        <v>Below avg</v>
      </c>
      <c r="Q32" s="6"/>
    </row>
    <row r="33" ht="22.5" customHeight="1">
      <c r="A33" s="8" t="s">
        <v>52</v>
      </c>
      <c r="B33" s="4">
        <v>19.9</v>
      </c>
      <c r="C33" s="5">
        <f t="shared" si="1"/>
        <v>3.98</v>
      </c>
      <c r="D33" s="5" t="str">
        <f t="shared" si="10"/>
        <v>Top core</v>
      </c>
      <c r="E33" s="8" t="s">
        <v>50</v>
      </c>
      <c r="F33" s="4">
        <v>0.973</v>
      </c>
      <c r="G33" s="5">
        <f t="shared" si="3"/>
        <v>0.4865</v>
      </c>
      <c r="H33" s="5" t="str">
        <f t="shared" si="4"/>
        <v>Low</v>
      </c>
      <c r="I33" s="8" t="s">
        <v>48</v>
      </c>
      <c r="J33" s="4">
        <v>2.5</v>
      </c>
      <c r="K33" s="5">
        <f t="shared" si="5"/>
        <v>0.4166666667</v>
      </c>
      <c r="L33" s="5" t="str">
        <f t="shared" si="6"/>
        <v>Low</v>
      </c>
      <c r="M33" s="8" t="s">
        <v>50</v>
      </c>
      <c r="N33" s="4">
        <v>10.1</v>
      </c>
      <c r="O33" s="5">
        <f t="shared" si="7"/>
        <v>1.683333333</v>
      </c>
      <c r="P33" s="5" t="str">
        <f t="shared" si="8"/>
        <v>Top core</v>
      </c>
      <c r="Q33" s="6"/>
    </row>
    <row r="34" ht="22.5" customHeight="1">
      <c r="A34" s="8" t="s">
        <v>53</v>
      </c>
      <c r="B34" s="4">
        <v>10.9</v>
      </c>
      <c r="C34" s="5">
        <f t="shared" si="1"/>
        <v>2.18</v>
      </c>
      <c r="D34" s="5" t="str">
        <f t="shared" si="10"/>
        <v>Top core</v>
      </c>
      <c r="E34" s="8" t="s">
        <v>51</v>
      </c>
      <c r="F34" s="4">
        <v>2.2</v>
      </c>
      <c r="G34" s="5">
        <f t="shared" si="3"/>
        <v>1.1</v>
      </c>
      <c r="H34" s="5" t="str">
        <f t="shared" si="4"/>
        <v>Average</v>
      </c>
      <c r="I34" s="8" t="s">
        <v>50</v>
      </c>
      <c r="J34" s="4">
        <v>9.1</v>
      </c>
      <c r="K34" s="5">
        <f t="shared" si="5"/>
        <v>1.516666667</v>
      </c>
      <c r="L34" s="5" t="str">
        <f t="shared" si="6"/>
        <v>Top core</v>
      </c>
      <c r="M34" s="8" t="s">
        <v>51</v>
      </c>
      <c r="N34" s="4">
        <v>18.3</v>
      </c>
      <c r="O34" s="5">
        <f t="shared" si="7"/>
        <v>3.05</v>
      </c>
      <c r="P34" s="5" t="str">
        <f t="shared" si="8"/>
        <v>Top core</v>
      </c>
      <c r="Q34" s="6"/>
    </row>
    <row r="35" ht="22.5" customHeight="1">
      <c r="A35" s="8" t="s">
        <v>54</v>
      </c>
      <c r="B35" s="4">
        <v>11.6</v>
      </c>
      <c r="C35" s="5">
        <f t="shared" si="1"/>
        <v>2.32</v>
      </c>
      <c r="D35" s="5" t="str">
        <f t="shared" si="10"/>
        <v>Top core</v>
      </c>
      <c r="E35" s="8" t="s">
        <v>52</v>
      </c>
      <c r="F35" s="4">
        <v>7.6</v>
      </c>
      <c r="G35" s="5">
        <f t="shared" si="3"/>
        <v>3.8</v>
      </c>
      <c r="H35" s="5" t="str">
        <f t="shared" si="4"/>
        <v>Top core</v>
      </c>
      <c r="I35" s="8" t="s">
        <v>51</v>
      </c>
      <c r="J35" s="4">
        <v>18.8</v>
      </c>
      <c r="K35" s="5">
        <f t="shared" si="5"/>
        <v>3.133333333</v>
      </c>
      <c r="L35" s="5" t="str">
        <f t="shared" si="6"/>
        <v>Top core</v>
      </c>
      <c r="M35" s="8" t="s">
        <v>52</v>
      </c>
      <c r="N35" s="4">
        <v>18.1</v>
      </c>
      <c r="O35" s="5">
        <f t="shared" si="7"/>
        <v>3.016666667</v>
      </c>
      <c r="P35" s="5" t="str">
        <f t="shared" si="8"/>
        <v>Top core</v>
      </c>
      <c r="Q35" s="6"/>
    </row>
    <row r="36" ht="22.5" customHeight="1">
      <c r="A36" s="8" t="s">
        <v>55</v>
      </c>
      <c r="B36" s="4">
        <v>4.4</v>
      </c>
      <c r="C36" s="5">
        <f t="shared" si="1"/>
        <v>0.88</v>
      </c>
      <c r="D36" s="5" t="str">
        <f t="shared" si="10"/>
        <v>Top core</v>
      </c>
      <c r="E36" s="8" t="s">
        <v>53</v>
      </c>
      <c r="F36" s="4">
        <v>5.5</v>
      </c>
      <c r="G36" s="5">
        <f t="shared" si="3"/>
        <v>2.75</v>
      </c>
      <c r="H36" s="5" t="str">
        <f t="shared" si="4"/>
        <v>Top core</v>
      </c>
      <c r="I36" s="8" t="s">
        <v>52</v>
      </c>
      <c r="J36" s="4">
        <v>18.1</v>
      </c>
      <c r="K36" s="5">
        <f t="shared" si="5"/>
        <v>3.016666667</v>
      </c>
      <c r="L36" s="5" t="str">
        <f t="shared" si="6"/>
        <v>Top core</v>
      </c>
      <c r="M36" s="8" t="s">
        <v>53</v>
      </c>
      <c r="N36" s="4">
        <v>18.6</v>
      </c>
      <c r="O36" s="5">
        <f t="shared" si="7"/>
        <v>3.1</v>
      </c>
      <c r="P36" s="5" t="str">
        <f t="shared" si="8"/>
        <v>Top core</v>
      </c>
      <c r="Q36" s="6"/>
    </row>
    <row r="37" ht="22.5" customHeight="1">
      <c r="A37" s="8" t="s">
        <v>56</v>
      </c>
      <c r="B37" s="4">
        <v>14.1</v>
      </c>
      <c r="C37" s="5">
        <f t="shared" si="1"/>
        <v>2.82</v>
      </c>
      <c r="D37" s="5" t="str">
        <f t="shared" si="10"/>
        <v>Top core</v>
      </c>
      <c r="E37" s="8" t="s">
        <v>54</v>
      </c>
      <c r="F37" s="4">
        <v>11.0</v>
      </c>
      <c r="G37" s="5">
        <f t="shared" si="3"/>
        <v>5.5</v>
      </c>
      <c r="H37" s="5" t="str">
        <f t="shared" si="4"/>
        <v>Top core</v>
      </c>
      <c r="I37" s="8" t="s">
        <v>53</v>
      </c>
      <c r="J37" s="4">
        <v>22.4</v>
      </c>
      <c r="K37" s="5">
        <f t="shared" si="5"/>
        <v>3.733333333</v>
      </c>
      <c r="L37" s="5" t="str">
        <f t="shared" si="6"/>
        <v>Top core</v>
      </c>
      <c r="M37" s="8" t="s">
        <v>54</v>
      </c>
      <c r="N37" s="4">
        <v>7.8</v>
      </c>
      <c r="O37" s="5">
        <f t="shared" si="7"/>
        <v>1.3</v>
      </c>
      <c r="P37" s="5" t="str">
        <f t="shared" si="8"/>
        <v>Good</v>
      </c>
      <c r="Q37" s="6"/>
    </row>
    <row r="38" ht="22.5" customHeight="1">
      <c r="A38" s="8" t="s">
        <v>57</v>
      </c>
      <c r="B38" s="4">
        <v>11.7</v>
      </c>
      <c r="C38" s="5">
        <f t="shared" si="1"/>
        <v>2.34</v>
      </c>
      <c r="D38" s="5" t="str">
        <f t="shared" si="10"/>
        <v>Top core</v>
      </c>
      <c r="E38" s="8" t="s">
        <v>55</v>
      </c>
      <c r="F38" s="4">
        <v>1.6</v>
      </c>
      <c r="G38" s="5">
        <f t="shared" si="3"/>
        <v>0.8</v>
      </c>
      <c r="H38" s="5" t="str">
        <f t="shared" si="4"/>
        <v>Below avg</v>
      </c>
      <c r="I38" s="8" t="s">
        <v>54</v>
      </c>
      <c r="J38" s="4">
        <v>5.2</v>
      </c>
      <c r="K38" s="5">
        <f t="shared" si="5"/>
        <v>0.8666666667</v>
      </c>
      <c r="L38" s="5" t="str">
        <f t="shared" si="6"/>
        <v>Below avg</v>
      </c>
      <c r="M38" s="8" t="s">
        <v>55</v>
      </c>
      <c r="N38" s="4">
        <v>11.3</v>
      </c>
      <c r="O38" s="5">
        <f t="shared" si="7"/>
        <v>1.883333333</v>
      </c>
      <c r="P38" s="5" t="str">
        <f t="shared" si="8"/>
        <v>Top core</v>
      </c>
      <c r="Q38" s="6"/>
    </row>
    <row r="39" ht="22.5" customHeight="1">
      <c r="A39" s="8" t="s">
        <v>58</v>
      </c>
      <c r="B39" s="4">
        <v>2.4</v>
      </c>
      <c r="C39" s="5">
        <f t="shared" si="1"/>
        <v>0.48</v>
      </c>
      <c r="D39" s="5" t="str">
        <f t="shared" si="10"/>
        <v>Top core</v>
      </c>
      <c r="E39" s="8" t="s">
        <v>56</v>
      </c>
      <c r="F39" s="4">
        <v>5.5</v>
      </c>
      <c r="G39" s="5">
        <f t="shared" si="3"/>
        <v>2.75</v>
      </c>
      <c r="H39" s="5" t="str">
        <f t="shared" si="4"/>
        <v>Top core</v>
      </c>
      <c r="I39" s="8" t="s">
        <v>55</v>
      </c>
      <c r="J39" s="4">
        <v>14.0</v>
      </c>
      <c r="K39" s="5">
        <f t="shared" si="5"/>
        <v>2.333333333</v>
      </c>
      <c r="L39" s="5" t="str">
        <f t="shared" si="6"/>
        <v>Top core</v>
      </c>
      <c r="M39" s="8" t="s">
        <v>56</v>
      </c>
      <c r="N39" s="4">
        <v>16.2</v>
      </c>
      <c r="O39" s="5">
        <f t="shared" si="7"/>
        <v>2.7</v>
      </c>
      <c r="P39" s="5" t="str">
        <f t="shared" si="8"/>
        <v>Top core</v>
      </c>
      <c r="Q39" s="6"/>
    </row>
    <row r="40" ht="22.5" customHeight="1">
      <c r="A40" s="8" t="s">
        <v>59</v>
      </c>
      <c r="B40" s="4">
        <v>6.7</v>
      </c>
      <c r="C40" s="5">
        <f t="shared" si="1"/>
        <v>1.34</v>
      </c>
      <c r="D40" s="5" t="str">
        <f t="shared" si="10"/>
        <v>Top core</v>
      </c>
      <c r="E40" s="8" t="s">
        <v>57</v>
      </c>
      <c r="F40" s="4">
        <v>2.9</v>
      </c>
      <c r="G40" s="5">
        <f t="shared" si="3"/>
        <v>1.45</v>
      </c>
      <c r="H40" s="5" t="str">
        <f t="shared" si="4"/>
        <v>Top core</v>
      </c>
      <c r="I40" s="8" t="s">
        <v>56</v>
      </c>
      <c r="J40" s="4">
        <v>9.5</v>
      </c>
      <c r="K40" s="5">
        <f t="shared" si="5"/>
        <v>1.583333333</v>
      </c>
      <c r="L40" s="5" t="str">
        <f t="shared" si="6"/>
        <v>Top core</v>
      </c>
      <c r="M40" s="8" t="s">
        <v>58</v>
      </c>
      <c r="N40" s="4">
        <v>11.8</v>
      </c>
      <c r="O40" s="5">
        <f t="shared" si="7"/>
        <v>1.966666667</v>
      </c>
      <c r="P40" s="5" t="str">
        <f t="shared" si="8"/>
        <v>Top core</v>
      </c>
      <c r="Q40" s="6"/>
    </row>
    <row r="41" ht="22.5" customHeight="1">
      <c r="A41" s="8" t="s">
        <v>60</v>
      </c>
      <c r="B41" s="4">
        <v>4.0</v>
      </c>
      <c r="C41" s="5">
        <f t="shared" si="1"/>
        <v>0.8</v>
      </c>
      <c r="D41" s="5" t="str">
        <f t="shared" si="10"/>
        <v>Top core</v>
      </c>
      <c r="E41" s="8" t="s">
        <v>58</v>
      </c>
      <c r="F41" s="4">
        <v>2.1</v>
      </c>
      <c r="G41" s="5">
        <f t="shared" si="3"/>
        <v>1.05</v>
      </c>
      <c r="H41" s="5" t="str">
        <f t="shared" si="4"/>
        <v>Average</v>
      </c>
      <c r="I41" s="8" t="s">
        <v>57</v>
      </c>
      <c r="J41" s="4">
        <v>5.0</v>
      </c>
      <c r="K41" s="5">
        <f t="shared" si="5"/>
        <v>0.8333333333</v>
      </c>
      <c r="L41" s="5" t="str">
        <f t="shared" si="6"/>
        <v>Below avg</v>
      </c>
      <c r="M41" s="8" t="s">
        <v>59</v>
      </c>
      <c r="N41" s="4">
        <v>9.6</v>
      </c>
      <c r="O41" s="5">
        <f t="shared" si="7"/>
        <v>1.6</v>
      </c>
      <c r="P41" s="5" t="str">
        <f t="shared" si="8"/>
        <v>Top core</v>
      </c>
      <c r="Q41" s="6"/>
    </row>
    <row r="42" ht="22.5" customHeight="1">
      <c r="A42" s="8" t="s">
        <v>61</v>
      </c>
      <c r="B42" s="4">
        <v>6.1</v>
      </c>
      <c r="C42" s="5">
        <f t="shared" si="1"/>
        <v>1.22</v>
      </c>
      <c r="D42" s="5" t="str">
        <f t="shared" si="10"/>
        <v>Top core</v>
      </c>
      <c r="E42" s="8" t="s">
        <v>59</v>
      </c>
      <c r="F42" s="4">
        <v>1.8</v>
      </c>
      <c r="G42" s="5">
        <f t="shared" si="3"/>
        <v>0.9</v>
      </c>
      <c r="H42" s="5" t="str">
        <f t="shared" si="4"/>
        <v>Below avg</v>
      </c>
      <c r="I42" s="8" t="s">
        <v>58</v>
      </c>
      <c r="J42" s="4">
        <v>6.5</v>
      </c>
      <c r="K42" s="5">
        <f t="shared" si="5"/>
        <v>1.083333333</v>
      </c>
      <c r="L42" s="5" t="str">
        <f t="shared" si="6"/>
        <v>Average</v>
      </c>
      <c r="M42" s="8" t="s">
        <v>60</v>
      </c>
      <c r="N42" s="4">
        <v>10.0</v>
      </c>
      <c r="O42" s="5">
        <f t="shared" si="7"/>
        <v>1.666666667</v>
      </c>
      <c r="P42" s="5" t="str">
        <f t="shared" si="8"/>
        <v>Top core</v>
      </c>
      <c r="Q42" s="6"/>
    </row>
    <row r="43" ht="22.5" customHeight="1">
      <c r="A43" s="8" t="s">
        <v>62</v>
      </c>
      <c r="B43" s="4">
        <v>8.6</v>
      </c>
      <c r="C43" s="5">
        <f t="shared" si="1"/>
        <v>1.72</v>
      </c>
      <c r="D43" s="5" t="str">
        <f t="shared" si="10"/>
        <v>Top core</v>
      </c>
      <c r="E43" s="8" t="s">
        <v>60</v>
      </c>
      <c r="F43" s="4">
        <v>1.4</v>
      </c>
      <c r="G43" s="5">
        <f t="shared" si="3"/>
        <v>0.7</v>
      </c>
      <c r="H43" s="5" t="str">
        <f t="shared" si="4"/>
        <v>Low</v>
      </c>
      <c r="I43" s="8" t="s">
        <v>59</v>
      </c>
      <c r="J43" s="4">
        <v>5.8</v>
      </c>
      <c r="K43" s="5">
        <f t="shared" si="5"/>
        <v>0.9666666667</v>
      </c>
      <c r="L43" s="5" t="str">
        <f t="shared" si="6"/>
        <v>Average</v>
      </c>
      <c r="M43" s="8" t="s">
        <v>61</v>
      </c>
      <c r="N43" s="4">
        <v>13.1</v>
      </c>
      <c r="O43" s="5">
        <f t="shared" si="7"/>
        <v>2.183333333</v>
      </c>
      <c r="P43" s="5" t="str">
        <f t="shared" si="8"/>
        <v>Top core</v>
      </c>
      <c r="Q43" s="6"/>
    </row>
    <row r="44" ht="22.5" customHeight="1">
      <c r="A44" s="8" t="s">
        <v>63</v>
      </c>
      <c r="B44" s="4">
        <v>5.4</v>
      </c>
      <c r="C44" s="5">
        <f t="shared" si="1"/>
        <v>1.08</v>
      </c>
      <c r="D44" s="5" t="str">
        <f t="shared" si="10"/>
        <v>Top core</v>
      </c>
      <c r="E44" s="8" t="s">
        <v>61</v>
      </c>
      <c r="F44" s="4">
        <v>2.9</v>
      </c>
      <c r="G44" s="5">
        <f t="shared" si="3"/>
        <v>1.45</v>
      </c>
      <c r="H44" s="5" t="str">
        <f t="shared" si="4"/>
        <v>Top core</v>
      </c>
      <c r="I44" s="8" t="s">
        <v>60</v>
      </c>
      <c r="J44" s="4">
        <v>8.4</v>
      </c>
      <c r="K44" s="5">
        <f t="shared" si="5"/>
        <v>1.4</v>
      </c>
      <c r="L44" s="5" t="str">
        <f t="shared" si="6"/>
        <v>Top core</v>
      </c>
      <c r="M44" s="8" t="s">
        <v>62</v>
      </c>
      <c r="N44" s="4">
        <v>15.2</v>
      </c>
      <c r="O44" s="5">
        <f t="shared" si="7"/>
        <v>2.533333333</v>
      </c>
      <c r="P44" s="5" t="str">
        <f t="shared" si="8"/>
        <v>Top core</v>
      </c>
      <c r="Q44" s="6"/>
    </row>
    <row r="45" ht="22.5" customHeight="1">
      <c r="A45" s="8" t="s">
        <v>64</v>
      </c>
      <c r="B45" s="4">
        <v>1.2</v>
      </c>
      <c r="C45" s="5">
        <f t="shared" si="1"/>
        <v>0.24</v>
      </c>
      <c r="D45" s="5" t="str">
        <f t="shared" si="10"/>
        <v>Top core</v>
      </c>
      <c r="E45" s="8" t="s">
        <v>62</v>
      </c>
      <c r="F45" s="4">
        <v>3.4</v>
      </c>
      <c r="G45" s="5">
        <f t="shared" si="3"/>
        <v>1.7</v>
      </c>
      <c r="H45" s="5" t="str">
        <f t="shared" si="4"/>
        <v>Top core</v>
      </c>
      <c r="I45" s="8" t="s">
        <v>61</v>
      </c>
      <c r="J45" s="4">
        <v>9.3</v>
      </c>
      <c r="K45" s="5">
        <f t="shared" si="5"/>
        <v>1.55</v>
      </c>
      <c r="L45" s="5" t="str">
        <f t="shared" si="6"/>
        <v>Top core</v>
      </c>
      <c r="M45" s="8" t="s">
        <v>63</v>
      </c>
      <c r="N45" s="4">
        <v>2.5</v>
      </c>
      <c r="O45" s="5">
        <f t="shared" si="7"/>
        <v>0.4166666667</v>
      </c>
      <c r="P45" s="5" t="str">
        <f t="shared" si="8"/>
        <v>Low</v>
      </c>
      <c r="Q45" s="6"/>
    </row>
    <row r="46" ht="22.5" customHeight="1">
      <c r="A46" s="8" t="s">
        <v>65</v>
      </c>
      <c r="B46" s="4">
        <v>21.7</v>
      </c>
      <c r="C46" s="5">
        <f t="shared" si="1"/>
        <v>4.34</v>
      </c>
      <c r="D46" s="5" t="str">
        <f t="shared" si="10"/>
        <v>Top core</v>
      </c>
      <c r="E46" s="8" t="s">
        <v>63</v>
      </c>
      <c r="F46" s="4">
        <v>3.0</v>
      </c>
      <c r="G46" s="5">
        <f t="shared" si="3"/>
        <v>1.5</v>
      </c>
      <c r="H46" s="5" t="str">
        <f t="shared" si="4"/>
        <v>Top core</v>
      </c>
      <c r="I46" s="8" t="s">
        <v>62</v>
      </c>
      <c r="J46" s="4">
        <v>12.4</v>
      </c>
      <c r="K46" s="5">
        <f t="shared" si="5"/>
        <v>2.066666667</v>
      </c>
      <c r="L46" s="5" t="str">
        <f t="shared" si="6"/>
        <v>Top core</v>
      </c>
      <c r="M46" s="8" t="s">
        <v>64</v>
      </c>
      <c r="N46" s="4">
        <v>13.5</v>
      </c>
      <c r="O46" s="5">
        <f t="shared" si="7"/>
        <v>2.25</v>
      </c>
      <c r="P46" s="5" t="str">
        <f t="shared" si="8"/>
        <v>Top core</v>
      </c>
      <c r="Q46" s="6"/>
    </row>
    <row r="47" ht="22.5" customHeight="1">
      <c r="A47" s="8" t="s">
        <v>66</v>
      </c>
      <c r="B47" s="4">
        <v>2.4</v>
      </c>
      <c r="C47" s="5">
        <f t="shared" si="1"/>
        <v>0.48</v>
      </c>
      <c r="D47" s="5" t="str">
        <f t="shared" si="10"/>
        <v>Top core</v>
      </c>
      <c r="E47" s="8" t="s">
        <v>64</v>
      </c>
      <c r="F47" s="4">
        <v>0.447</v>
      </c>
      <c r="G47" s="5">
        <f t="shared" si="3"/>
        <v>0.2235</v>
      </c>
      <c r="H47" s="5" t="str">
        <f t="shared" si="4"/>
        <v>Low</v>
      </c>
      <c r="I47" s="8" t="s">
        <v>63</v>
      </c>
      <c r="J47" s="4">
        <v>1.4</v>
      </c>
      <c r="K47" s="5">
        <f t="shared" si="5"/>
        <v>0.2333333333</v>
      </c>
      <c r="L47" s="5" t="str">
        <f t="shared" si="6"/>
        <v>Low</v>
      </c>
      <c r="M47" s="8" t="s">
        <v>65</v>
      </c>
      <c r="N47" s="4">
        <v>6.7</v>
      </c>
      <c r="O47" s="5">
        <f t="shared" si="7"/>
        <v>1.116666667</v>
      </c>
      <c r="P47" s="5" t="str">
        <f t="shared" si="8"/>
        <v>Average</v>
      </c>
      <c r="Q47" s="6"/>
    </row>
    <row r="48" ht="22.5" customHeight="1">
      <c r="A48" s="8" t="s">
        <v>67</v>
      </c>
      <c r="B48" s="4">
        <v>3.0</v>
      </c>
      <c r="C48" s="5">
        <f t="shared" si="1"/>
        <v>0.6</v>
      </c>
      <c r="D48" s="5" t="str">
        <f t="shared" si="10"/>
        <v>Top core</v>
      </c>
      <c r="E48" s="8" t="s">
        <v>65</v>
      </c>
      <c r="F48" s="4">
        <v>2.1</v>
      </c>
      <c r="G48" s="5">
        <f t="shared" si="3"/>
        <v>1.05</v>
      </c>
      <c r="H48" s="5" t="str">
        <f t="shared" si="4"/>
        <v>Average</v>
      </c>
      <c r="I48" s="8" t="s">
        <v>64</v>
      </c>
      <c r="J48" s="4">
        <v>10.5</v>
      </c>
      <c r="K48" s="5">
        <f t="shared" si="5"/>
        <v>1.75</v>
      </c>
      <c r="L48" s="5" t="str">
        <f t="shared" si="6"/>
        <v>Top core</v>
      </c>
      <c r="M48" s="8" t="s">
        <v>66</v>
      </c>
      <c r="N48" s="4">
        <v>4.2</v>
      </c>
      <c r="O48" s="5">
        <f t="shared" si="7"/>
        <v>0.7</v>
      </c>
      <c r="P48" s="5" t="str">
        <f t="shared" si="8"/>
        <v>Low</v>
      </c>
      <c r="Q48" s="6"/>
    </row>
    <row r="49" ht="22.5" customHeight="1">
      <c r="A49" s="8" t="s">
        <v>68</v>
      </c>
      <c r="B49" s="4">
        <v>1.8</v>
      </c>
      <c r="C49" s="5">
        <f t="shared" si="1"/>
        <v>0.36</v>
      </c>
      <c r="D49" s="5" t="str">
        <f t="shared" si="10"/>
        <v>Top core</v>
      </c>
      <c r="E49" s="8" t="s">
        <v>66</v>
      </c>
      <c r="F49" s="4">
        <v>1.5</v>
      </c>
      <c r="G49" s="5">
        <f t="shared" si="3"/>
        <v>0.75</v>
      </c>
      <c r="H49" s="5" t="str">
        <f t="shared" si="4"/>
        <v>Below avg</v>
      </c>
      <c r="I49" s="8" t="s">
        <v>65</v>
      </c>
      <c r="J49" s="4">
        <v>4.7</v>
      </c>
      <c r="K49" s="5">
        <f t="shared" si="5"/>
        <v>0.7833333333</v>
      </c>
      <c r="L49" s="5" t="str">
        <f t="shared" si="6"/>
        <v>Below avg</v>
      </c>
      <c r="M49" s="8" t="s">
        <v>67</v>
      </c>
      <c r="N49" s="4">
        <v>4.1</v>
      </c>
      <c r="O49" s="5">
        <f t="shared" si="7"/>
        <v>0.6833333333</v>
      </c>
      <c r="P49" s="5" t="str">
        <f t="shared" si="8"/>
        <v>Low</v>
      </c>
      <c r="Q49" s="6"/>
    </row>
    <row r="50" ht="22.5" customHeight="1">
      <c r="A50" s="8" t="s">
        <v>69</v>
      </c>
      <c r="B50" s="4">
        <v>5.9</v>
      </c>
      <c r="C50" s="5">
        <f t="shared" si="1"/>
        <v>1.18</v>
      </c>
      <c r="D50" s="5" t="str">
        <f t="shared" si="10"/>
        <v>Top core</v>
      </c>
      <c r="E50" s="8" t="s">
        <v>67</v>
      </c>
      <c r="F50" s="4">
        <v>0.753</v>
      </c>
      <c r="G50" s="5">
        <f t="shared" si="3"/>
        <v>0.3765</v>
      </c>
      <c r="H50" s="5" t="str">
        <f t="shared" si="4"/>
        <v>Low</v>
      </c>
      <c r="I50" s="8" t="s">
        <v>66</v>
      </c>
      <c r="J50" s="4">
        <v>3.4</v>
      </c>
      <c r="K50" s="5">
        <f t="shared" si="5"/>
        <v>0.5666666667</v>
      </c>
      <c r="L50" s="5" t="str">
        <f t="shared" si="6"/>
        <v>Low</v>
      </c>
      <c r="M50" s="8" t="s">
        <v>68</v>
      </c>
      <c r="N50" s="4">
        <v>15.9</v>
      </c>
      <c r="O50" s="5">
        <f t="shared" si="7"/>
        <v>2.65</v>
      </c>
      <c r="P50" s="5" t="str">
        <f t="shared" si="8"/>
        <v>Top core</v>
      </c>
      <c r="Q50" s="6"/>
    </row>
    <row r="51" ht="22.5" customHeight="1">
      <c r="A51" s="8" t="s">
        <v>70</v>
      </c>
      <c r="B51" s="4">
        <v>5.5</v>
      </c>
      <c r="C51" s="5">
        <f t="shared" si="1"/>
        <v>1.1</v>
      </c>
      <c r="D51" s="5" t="str">
        <f t="shared" si="10"/>
        <v>Top core</v>
      </c>
      <c r="E51" s="8" t="s">
        <v>68</v>
      </c>
      <c r="F51" s="4">
        <v>0.382</v>
      </c>
      <c r="G51" s="5">
        <f t="shared" si="3"/>
        <v>0.191</v>
      </c>
      <c r="H51" s="5" t="str">
        <f t="shared" si="4"/>
        <v>Low</v>
      </c>
      <c r="I51" s="8" t="s">
        <v>67</v>
      </c>
      <c r="J51" s="4">
        <v>1.8</v>
      </c>
      <c r="K51" s="5">
        <f t="shared" si="5"/>
        <v>0.3</v>
      </c>
      <c r="L51" s="5" t="str">
        <f t="shared" si="6"/>
        <v>Low</v>
      </c>
      <c r="M51" s="8" t="s">
        <v>69</v>
      </c>
      <c r="N51" s="4">
        <v>9.3</v>
      </c>
      <c r="O51" s="5">
        <f t="shared" si="7"/>
        <v>1.55</v>
      </c>
      <c r="P51" s="5" t="str">
        <f t="shared" si="8"/>
        <v>Top core</v>
      </c>
      <c r="Q51" s="6"/>
    </row>
    <row r="52" ht="22.5" customHeight="1">
      <c r="A52" s="8" t="s">
        <v>71</v>
      </c>
      <c r="B52" s="4">
        <v>13.5</v>
      </c>
      <c r="C52" s="5">
        <f t="shared" si="1"/>
        <v>2.7</v>
      </c>
      <c r="D52" s="5" t="str">
        <f t="shared" si="10"/>
        <v>Top core</v>
      </c>
      <c r="E52" s="8" t="s">
        <v>69</v>
      </c>
      <c r="F52" s="4">
        <v>3.2</v>
      </c>
      <c r="G52" s="5">
        <f t="shared" si="3"/>
        <v>1.6</v>
      </c>
      <c r="H52" s="5" t="str">
        <f t="shared" si="4"/>
        <v>Top core</v>
      </c>
      <c r="I52" s="8" t="s">
        <v>68</v>
      </c>
      <c r="J52" s="4">
        <v>7.8</v>
      </c>
      <c r="K52" s="5">
        <f t="shared" si="5"/>
        <v>1.3</v>
      </c>
      <c r="L52" s="5" t="str">
        <f t="shared" si="6"/>
        <v>Good</v>
      </c>
      <c r="M52" s="8" t="s">
        <v>70</v>
      </c>
      <c r="N52" s="4">
        <v>14.5</v>
      </c>
      <c r="O52" s="5">
        <f t="shared" si="7"/>
        <v>2.416666667</v>
      </c>
      <c r="P52" s="5" t="str">
        <f t="shared" si="8"/>
        <v>Top core</v>
      </c>
      <c r="Q52" s="6"/>
    </row>
    <row r="53" ht="22.5" customHeight="1">
      <c r="A53" s="8" t="s">
        <v>72</v>
      </c>
      <c r="B53" s="4">
        <v>18.1</v>
      </c>
      <c r="C53" s="5">
        <f t="shared" si="1"/>
        <v>3.62</v>
      </c>
      <c r="D53" s="5" t="str">
        <f t="shared" si="10"/>
        <v>Top core</v>
      </c>
      <c r="E53" s="8" t="s">
        <v>70</v>
      </c>
      <c r="F53" s="4">
        <v>3.1</v>
      </c>
      <c r="G53" s="5">
        <f t="shared" si="3"/>
        <v>1.55</v>
      </c>
      <c r="H53" s="5" t="str">
        <f t="shared" si="4"/>
        <v>Top core</v>
      </c>
      <c r="I53" s="8" t="s">
        <v>69</v>
      </c>
      <c r="J53" s="4">
        <v>8.6</v>
      </c>
      <c r="K53" s="5">
        <f t="shared" si="5"/>
        <v>1.433333333</v>
      </c>
      <c r="L53" s="5" t="str">
        <f t="shared" si="6"/>
        <v>Top core</v>
      </c>
      <c r="M53" s="8" t="s">
        <v>71</v>
      </c>
      <c r="N53" s="4">
        <v>15.4</v>
      </c>
      <c r="O53" s="5">
        <f t="shared" si="7"/>
        <v>2.566666667</v>
      </c>
      <c r="P53" s="5" t="str">
        <f t="shared" si="8"/>
        <v>Top core</v>
      </c>
      <c r="Q53" s="6"/>
    </row>
    <row r="54" ht="22.5" customHeight="1">
      <c r="A54" s="8" t="s">
        <v>73</v>
      </c>
      <c r="B54" s="4">
        <v>1.1</v>
      </c>
      <c r="C54" s="5">
        <f t="shared" si="1"/>
        <v>0.22</v>
      </c>
      <c r="D54" s="5" t="str">
        <f t="shared" si="10"/>
        <v>Top core</v>
      </c>
      <c r="E54" s="8" t="s">
        <v>71</v>
      </c>
      <c r="F54" s="4">
        <v>5.3</v>
      </c>
      <c r="G54" s="5">
        <f t="shared" si="3"/>
        <v>2.65</v>
      </c>
      <c r="H54" s="5" t="str">
        <f t="shared" si="4"/>
        <v>Top core</v>
      </c>
      <c r="I54" s="8" t="s">
        <v>70</v>
      </c>
      <c r="J54" s="4">
        <v>16.3</v>
      </c>
      <c r="K54" s="5">
        <f t="shared" si="5"/>
        <v>2.716666667</v>
      </c>
      <c r="L54" s="5" t="str">
        <f t="shared" si="6"/>
        <v>Top core</v>
      </c>
      <c r="M54" s="8" t="s">
        <v>72</v>
      </c>
      <c r="N54" s="4">
        <v>3.0</v>
      </c>
      <c r="O54" s="5">
        <f t="shared" si="7"/>
        <v>0.5</v>
      </c>
      <c r="P54" s="5" t="str">
        <f t="shared" si="8"/>
        <v>Low</v>
      </c>
      <c r="Q54" s="6"/>
    </row>
    <row r="55" ht="22.5" customHeight="1">
      <c r="A55" s="8" t="s">
        <v>74</v>
      </c>
      <c r="B55" s="4">
        <v>7.3</v>
      </c>
      <c r="C55" s="5">
        <f t="shared" si="1"/>
        <v>1.46</v>
      </c>
      <c r="D55" s="5" t="str">
        <f t="shared" si="10"/>
        <v>Top core</v>
      </c>
      <c r="E55" s="8" t="s">
        <v>72</v>
      </c>
      <c r="F55" s="4">
        <v>6.5</v>
      </c>
      <c r="G55" s="5">
        <f t="shared" si="3"/>
        <v>3.25</v>
      </c>
      <c r="H55" s="5" t="str">
        <f t="shared" si="4"/>
        <v>Top core</v>
      </c>
      <c r="I55" s="8" t="s">
        <v>71</v>
      </c>
      <c r="J55" s="4">
        <v>16.7</v>
      </c>
      <c r="K55" s="5">
        <f t="shared" si="5"/>
        <v>2.783333333</v>
      </c>
      <c r="L55" s="5" t="str">
        <f t="shared" si="6"/>
        <v>Top core</v>
      </c>
      <c r="M55" s="8" t="s">
        <v>73</v>
      </c>
      <c r="N55" s="4">
        <v>10.6</v>
      </c>
      <c r="O55" s="5">
        <f t="shared" si="7"/>
        <v>1.766666667</v>
      </c>
      <c r="P55" s="5" t="str">
        <f t="shared" si="8"/>
        <v>Top core</v>
      </c>
      <c r="Q55" s="6"/>
    </row>
    <row r="56" ht="22.5" customHeight="1">
      <c r="A56" s="8" t="s">
        <v>75</v>
      </c>
      <c r="B56" s="4">
        <v>5.4</v>
      </c>
      <c r="C56" s="5">
        <f t="shared" si="1"/>
        <v>1.08</v>
      </c>
      <c r="D56" s="5" t="str">
        <f t="shared" si="10"/>
        <v>Top core</v>
      </c>
      <c r="E56" s="8" t="s">
        <v>73</v>
      </c>
      <c r="F56" s="4">
        <v>0.615</v>
      </c>
      <c r="G56" s="5">
        <f t="shared" si="3"/>
        <v>0.3075</v>
      </c>
      <c r="H56" s="5" t="str">
        <f t="shared" si="4"/>
        <v>Low</v>
      </c>
      <c r="I56" s="8" t="s">
        <v>72</v>
      </c>
      <c r="J56" s="4">
        <v>2.4</v>
      </c>
      <c r="K56" s="5">
        <f t="shared" si="5"/>
        <v>0.4</v>
      </c>
      <c r="L56" s="5" t="str">
        <f t="shared" si="6"/>
        <v>Low</v>
      </c>
      <c r="M56" s="8" t="s">
        <v>74</v>
      </c>
      <c r="N56" s="4">
        <v>6.2</v>
      </c>
      <c r="O56" s="5">
        <f t="shared" si="7"/>
        <v>1.033333333</v>
      </c>
      <c r="P56" s="5" t="str">
        <f t="shared" si="8"/>
        <v>Average</v>
      </c>
      <c r="Q56" s="6"/>
    </row>
    <row r="57" ht="22.5" customHeight="1">
      <c r="A57" s="8" t="s">
        <v>76</v>
      </c>
      <c r="B57" s="4">
        <v>1.2</v>
      </c>
      <c r="C57" s="5">
        <f t="shared" si="1"/>
        <v>0.24</v>
      </c>
      <c r="D57" s="5" t="str">
        <f t="shared" si="10"/>
        <v>Top core</v>
      </c>
      <c r="E57" s="8" t="s">
        <v>74</v>
      </c>
      <c r="F57" s="4">
        <v>3.7</v>
      </c>
      <c r="G57" s="5">
        <f t="shared" si="3"/>
        <v>1.85</v>
      </c>
      <c r="H57" s="5" t="str">
        <f t="shared" si="4"/>
        <v>Top core</v>
      </c>
      <c r="I57" s="8" t="s">
        <v>73</v>
      </c>
      <c r="J57" s="4">
        <v>8.5</v>
      </c>
      <c r="K57" s="5">
        <f t="shared" si="5"/>
        <v>1.416666667</v>
      </c>
      <c r="L57" s="5" t="str">
        <f t="shared" si="6"/>
        <v>Top core</v>
      </c>
      <c r="M57" s="8" t="s">
        <v>75</v>
      </c>
      <c r="N57" s="4">
        <v>3.2</v>
      </c>
      <c r="O57" s="5">
        <f t="shared" si="7"/>
        <v>0.5333333333</v>
      </c>
      <c r="P57" s="5" t="str">
        <f t="shared" si="8"/>
        <v>Low</v>
      </c>
      <c r="Q57" s="6"/>
    </row>
    <row r="58" ht="22.5" customHeight="1">
      <c r="A58" s="10">
        <v>67.0</v>
      </c>
      <c r="B58" s="4">
        <v>4.3</v>
      </c>
      <c r="C58" s="5">
        <f t="shared" si="1"/>
        <v>0.86</v>
      </c>
      <c r="D58" s="5" t="str">
        <f t="shared" si="10"/>
        <v>Top core</v>
      </c>
      <c r="E58" s="8" t="s">
        <v>75</v>
      </c>
      <c r="F58" s="4">
        <v>2.8</v>
      </c>
      <c r="G58" s="5">
        <f t="shared" si="3"/>
        <v>1.4</v>
      </c>
      <c r="H58" s="5" t="str">
        <f t="shared" si="4"/>
        <v>Top core</v>
      </c>
      <c r="I58" s="8" t="s">
        <v>74</v>
      </c>
      <c r="J58" s="4">
        <v>7.5</v>
      </c>
      <c r="K58" s="5">
        <f t="shared" si="5"/>
        <v>1.25</v>
      </c>
      <c r="L58" s="5" t="str">
        <f t="shared" si="6"/>
        <v>Good</v>
      </c>
      <c r="M58" s="8" t="s">
        <v>76</v>
      </c>
      <c r="N58" s="4">
        <v>0.79</v>
      </c>
      <c r="O58" s="5">
        <f t="shared" si="7"/>
        <v>0.1316666667</v>
      </c>
      <c r="P58" s="5" t="str">
        <f t="shared" si="8"/>
        <v>Low</v>
      </c>
      <c r="Q58" s="6"/>
    </row>
    <row r="59" ht="22.5" customHeight="1">
      <c r="A59" s="8" t="s">
        <v>77</v>
      </c>
      <c r="B59" s="4">
        <v>10.7</v>
      </c>
      <c r="C59" s="5">
        <f t="shared" si="1"/>
        <v>2.14</v>
      </c>
      <c r="D59" s="5" t="str">
        <f t="shared" si="10"/>
        <v>Top core</v>
      </c>
      <c r="E59" s="8" t="s">
        <v>76</v>
      </c>
      <c r="F59" s="4">
        <v>0.712</v>
      </c>
      <c r="G59" s="5">
        <f t="shared" si="3"/>
        <v>0.356</v>
      </c>
      <c r="H59" s="5" t="str">
        <f t="shared" si="4"/>
        <v>Low</v>
      </c>
      <c r="I59" s="8" t="s">
        <v>75</v>
      </c>
      <c r="J59" s="4">
        <v>2.2</v>
      </c>
      <c r="K59" s="5">
        <f t="shared" si="5"/>
        <v>0.3666666667</v>
      </c>
      <c r="L59" s="5" t="str">
        <f t="shared" si="6"/>
        <v>Low</v>
      </c>
      <c r="M59" s="10">
        <v>67.0</v>
      </c>
      <c r="N59" s="4">
        <v>26.0</v>
      </c>
      <c r="O59" s="5">
        <f t="shared" si="7"/>
        <v>4.333333333</v>
      </c>
      <c r="P59" s="5" t="str">
        <f t="shared" si="8"/>
        <v>Top core</v>
      </c>
      <c r="Q59" s="6"/>
    </row>
    <row r="60" ht="22.5" customHeight="1">
      <c r="A60" s="11" t="s">
        <v>78</v>
      </c>
      <c r="B60" s="4">
        <v>0.0</v>
      </c>
      <c r="C60" s="5">
        <f t="shared" si="1"/>
        <v>0</v>
      </c>
      <c r="D60" s="5" t="str">
        <f t="shared" si="10"/>
        <v>Good</v>
      </c>
      <c r="E60" s="10">
        <v>67.0</v>
      </c>
      <c r="F60" s="4">
        <v>1.1</v>
      </c>
      <c r="G60" s="5">
        <f t="shared" si="3"/>
        <v>0.55</v>
      </c>
      <c r="H60" s="5" t="str">
        <f t="shared" si="4"/>
        <v>Low</v>
      </c>
      <c r="I60" s="8" t="s">
        <v>76</v>
      </c>
      <c r="J60" s="4">
        <v>3.3</v>
      </c>
      <c r="K60" s="5">
        <f t="shared" si="5"/>
        <v>0.55</v>
      </c>
      <c r="L60" s="5" t="str">
        <f t="shared" si="6"/>
        <v>Low</v>
      </c>
      <c r="M60" s="8" t="s">
        <v>77</v>
      </c>
      <c r="N60" s="4">
        <v>4.2</v>
      </c>
      <c r="O60" s="5">
        <f t="shared" si="7"/>
        <v>0.7</v>
      </c>
      <c r="P60" s="5" t="str">
        <f t="shared" si="8"/>
        <v>Low</v>
      </c>
      <c r="Q60" s="6"/>
    </row>
    <row r="61" ht="22.5" customHeight="1">
      <c r="A61" s="11" t="s">
        <v>79</v>
      </c>
      <c r="B61" s="4">
        <v>1.3</v>
      </c>
      <c r="C61" s="5">
        <f t="shared" si="1"/>
        <v>0.26</v>
      </c>
      <c r="D61" s="5" t="str">
        <f>IF(C61&gt;$C$96*1.3,"Top core",
 IF(C61&gt;=$C$96*1.1,"Good",
 IF(C61&gt;=$C$96*0.9,"Average",
 IF(C61&gt;=$C$96*0.7,"Below avg","Low"))))</f>
        <v>Low</v>
      </c>
      <c r="E61" s="8" t="s">
        <v>77</v>
      </c>
      <c r="F61" s="4">
        <v>2.4</v>
      </c>
      <c r="G61" s="5">
        <f t="shared" si="3"/>
        <v>1.2</v>
      </c>
      <c r="H61" s="5" t="str">
        <f t="shared" si="4"/>
        <v>Good</v>
      </c>
      <c r="I61" s="10">
        <v>67.0</v>
      </c>
      <c r="J61" s="4">
        <v>11.9</v>
      </c>
      <c r="K61" s="5">
        <f t="shared" si="5"/>
        <v>1.983333333</v>
      </c>
      <c r="L61" s="5" t="str">
        <f t="shared" si="6"/>
        <v>Top core</v>
      </c>
      <c r="M61" s="8" t="s">
        <v>80</v>
      </c>
      <c r="N61" s="4">
        <v>1.2</v>
      </c>
      <c r="O61" s="5">
        <f t="shared" si="7"/>
        <v>0.2</v>
      </c>
      <c r="P61" s="5" t="str">
        <f t="shared" si="8"/>
        <v>Low</v>
      </c>
      <c r="Q61" s="6"/>
    </row>
    <row r="62" ht="22.5" customHeight="1">
      <c r="A62" s="11" t="s">
        <v>80</v>
      </c>
      <c r="B62" s="4">
        <v>1.8</v>
      </c>
      <c r="C62" s="5">
        <f t="shared" si="1"/>
        <v>0.36</v>
      </c>
      <c r="D62" s="5" t="str">
        <f t="shared" ref="D62:D103" si="11">IF(C62&gt;$C$104*1.3,"Top core",
 IF(C62&gt;=$C$104*1.1,"Good",
 IF(C62&gt;=$C$104*0.9,"Average",
 IF(C62&gt;=$C$104*0.7,"Below avg","Low"))))</f>
        <v>Low</v>
      </c>
      <c r="E62" s="8" t="s">
        <v>80</v>
      </c>
      <c r="F62" s="4">
        <v>11.5</v>
      </c>
      <c r="G62" s="5">
        <f t="shared" si="3"/>
        <v>5.75</v>
      </c>
      <c r="H62" s="5" t="str">
        <f t="shared" si="4"/>
        <v>Top core</v>
      </c>
      <c r="I62" s="8" t="s">
        <v>77</v>
      </c>
      <c r="J62" s="4">
        <v>25.3</v>
      </c>
      <c r="K62" s="5">
        <f t="shared" si="5"/>
        <v>4.216666667</v>
      </c>
      <c r="L62" s="5" t="str">
        <f t="shared" si="6"/>
        <v>Top core</v>
      </c>
      <c r="M62" s="8" t="s">
        <v>81</v>
      </c>
      <c r="N62" s="4">
        <v>13.1</v>
      </c>
      <c r="O62" s="5">
        <f t="shared" si="7"/>
        <v>2.183333333</v>
      </c>
      <c r="P62" s="5" t="str">
        <f t="shared" si="8"/>
        <v>Top core</v>
      </c>
      <c r="Q62" s="6"/>
    </row>
    <row r="63" ht="22.5" customHeight="1">
      <c r="A63" s="11" t="s">
        <v>82</v>
      </c>
      <c r="B63" s="4">
        <v>1.4</v>
      </c>
      <c r="C63" s="5">
        <f t="shared" si="1"/>
        <v>0.28</v>
      </c>
      <c r="D63" s="5" t="str">
        <f t="shared" si="11"/>
        <v>Low</v>
      </c>
      <c r="E63" s="8" t="s">
        <v>81</v>
      </c>
      <c r="F63" s="4">
        <v>0.252</v>
      </c>
      <c r="G63" s="5">
        <f t="shared" si="3"/>
        <v>0.126</v>
      </c>
      <c r="H63" s="5" t="str">
        <f t="shared" si="4"/>
        <v>Low</v>
      </c>
      <c r="I63" s="8" t="s">
        <v>80</v>
      </c>
      <c r="J63" s="4">
        <v>1.1</v>
      </c>
      <c r="K63" s="5">
        <f t="shared" si="5"/>
        <v>0.1833333333</v>
      </c>
      <c r="L63" s="5" t="str">
        <f t="shared" si="6"/>
        <v>Low</v>
      </c>
      <c r="M63" s="12" t="s">
        <v>83</v>
      </c>
      <c r="N63" s="4">
        <v>18.0</v>
      </c>
      <c r="O63" s="5">
        <f t="shared" si="7"/>
        <v>3</v>
      </c>
      <c r="P63" s="5" t="str">
        <f t="shared" si="8"/>
        <v>Top core</v>
      </c>
      <c r="Q63" s="6"/>
    </row>
    <row r="64" ht="22.5" customHeight="1">
      <c r="A64" s="11" t="s">
        <v>84</v>
      </c>
      <c r="B64" s="4">
        <v>1.2</v>
      </c>
      <c r="C64" s="5">
        <f t="shared" si="1"/>
        <v>0.24</v>
      </c>
      <c r="D64" s="5" t="str">
        <f t="shared" si="11"/>
        <v>Low</v>
      </c>
      <c r="E64" s="12" t="s">
        <v>83</v>
      </c>
      <c r="F64" s="4">
        <v>2.1</v>
      </c>
      <c r="G64" s="5">
        <f t="shared" si="3"/>
        <v>1.05</v>
      </c>
      <c r="H64" s="5" t="str">
        <f t="shared" si="4"/>
        <v>Average</v>
      </c>
      <c r="I64" s="8" t="s">
        <v>81</v>
      </c>
      <c r="J64" s="4">
        <v>10.3</v>
      </c>
      <c r="K64" s="5">
        <f t="shared" si="5"/>
        <v>1.716666667</v>
      </c>
      <c r="L64" s="5" t="str">
        <f t="shared" si="6"/>
        <v>Top core</v>
      </c>
      <c r="M64" s="13" t="s">
        <v>85</v>
      </c>
      <c r="N64" s="4">
        <v>7.6</v>
      </c>
      <c r="O64" s="5">
        <f t="shared" si="7"/>
        <v>1.266666667</v>
      </c>
      <c r="P64" s="14" t="str">
        <f t="shared" ref="P64:P65" si="12">IF(O64&gt;$C$103*1.3,"Top core",
 IF(O64&gt;=$C$103*1.1,"Good",
 IF(O64&gt;=$C$103*0.9,"Average",
 IF(O64&gt;=$C$103*0.7,"Below avg","Low"))))</f>
        <v>Top core</v>
      </c>
      <c r="Q64" s="15"/>
    </row>
    <row r="65" ht="22.5" customHeight="1">
      <c r="A65" s="11" t="s">
        <v>86</v>
      </c>
      <c r="B65" s="4">
        <v>0.824</v>
      </c>
      <c r="C65" s="5">
        <f t="shared" si="1"/>
        <v>0.1648</v>
      </c>
      <c r="D65" s="5" t="str">
        <f t="shared" si="11"/>
        <v>Low</v>
      </c>
      <c r="E65" s="13" t="s">
        <v>85</v>
      </c>
      <c r="F65" s="16">
        <v>4.9</v>
      </c>
      <c r="G65" s="17">
        <f t="shared" si="3"/>
        <v>2.45</v>
      </c>
      <c r="H65" s="14" t="str">
        <f t="shared" ref="H65:H66" si="13">IF(G65&gt;$C$103*1.3,"Top core",
 IF(G65&gt;=$C$103*1.1,"Good",
 IF(G65&gt;=$C$103*0.9,"Average",
 IF(G65&gt;=$C$103*0.7,"Below avg","Low"))))</f>
        <v>Top core</v>
      </c>
      <c r="I65" s="12" t="s">
        <v>83</v>
      </c>
      <c r="J65" s="4">
        <v>14.4</v>
      </c>
      <c r="K65" s="5">
        <f t="shared" si="5"/>
        <v>2.4</v>
      </c>
      <c r="L65" s="14" t="str">
        <f t="shared" ref="L65:L66" si="14">IF(K65&gt;$C$103*1.3,"Top core",
 IF(K65&gt;=$C$103*1.1,"Good",
 IF(K65&gt;=$C$103*0.9,"Average",
 IF(K65&gt;=$C$103*0.7,"Below avg","Low"))))</f>
        <v>Top core</v>
      </c>
      <c r="M65" s="8" t="s">
        <v>87</v>
      </c>
      <c r="N65" s="4">
        <v>1.8</v>
      </c>
      <c r="O65" s="5">
        <f t="shared" si="7"/>
        <v>0.3</v>
      </c>
      <c r="P65" s="14" t="str">
        <f t="shared" si="12"/>
        <v>Low</v>
      </c>
      <c r="Q65" s="15"/>
    </row>
    <row r="66" ht="22.5" customHeight="1">
      <c r="A66" s="11" t="s">
        <v>88</v>
      </c>
      <c r="B66" s="4">
        <v>4.0</v>
      </c>
      <c r="C66" s="5">
        <f t="shared" si="1"/>
        <v>0.8</v>
      </c>
      <c r="D66" s="5" t="str">
        <f t="shared" si="11"/>
        <v>Below avg</v>
      </c>
      <c r="E66" s="8" t="s">
        <v>87</v>
      </c>
      <c r="F66" s="18">
        <v>0.0</v>
      </c>
      <c r="G66" s="17">
        <f t="shared" si="3"/>
        <v>0</v>
      </c>
      <c r="H66" s="14" t="str">
        <f t="shared" si="13"/>
        <v>Low</v>
      </c>
      <c r="I66" s="13" t="s">
        <v>85</v>
      </c>
      <c r="J66" s="4">
        <v>8.5</v>
      </c>
      <c r="K66" s="5">
        <f t="shared" si="5"/>
        <v>1.416666667</v>
      </c>
      <c r="L66" s="14" t="str">
        <f t="shared" si="14"/>
        <v>Top core</v>
      </c>
      <c r="M66" s="8" t="s">
        <v>89</v>
      </c>
      <c r="N66" s="4">
        <v>5.6</v>
      </c>
      <c r="O66" s="5">
        <f t="shared" si="7"/>
        <v>0.9333333333</v>
      </c>
      <c r="P66" s="5" t="str">
        <f t="shared" ref="P66:P101" si="15">IF(O66&gt;$C$104*1.3,"Top core",
 IF(O66&gt;=$C$104*1.1,"Good",
 IF(O66&gt;=$C$104*0.9,"Average",
 IF(O66&gt;=$C$104*0.7,"Below avg","Low"))))</f>
        <v>Average</v>
      </c>
      <c r="Q66" s="6"/>
    </row>
    <row r="67" ht="22.5" customHeight="1">
      <c r="A67" s="11" t="s">
        <v>90</v>
      </c>
      <c r="B67" s="4">
        <v>1.3</v>
      </c>
      <c r="C67" s="5">
        <f t="shared" si="1"/>
        <v>0.26</v>
      </c>
      <c r="D67" s="5" t="str">
        <f t="shared" si="11"/>
        <v>Low</v>
      </c>
      <c r="E67" s="8" t="s">
        <v>91</v>
      </c>
      <c r="F67" s="4">
        <v>0.556</v>
      </c>
      <c r="G67" s="5">
        <f t="shared" si="3"/>
        <v>0.278</v>
      </c>
      <c r="H67" s="5" t="str">
        <f t="shared" ref="H67:H103" si="16">IF(G67&gt;$C$104*1.3,"Top core",
 IF(G67&gt;=$C$104*1.1,"Good",
 IF(G67&gt;=$C$104*0.9,"Average",
 IF(G67&gt;=$C$104*0.7,"Below avg","Low"))))</f>
        <v>Low</v>
      </c>
      <c r="I67" s="8" t="s">
        <v>87</v>
      </c>
      <c r="J67" s="4">
        <v>2.7</v>
      </c>
      <c r="K67" s="5">
        <f t="shared" si="5"/>
        <v>0.45</v>
      </c>
      <c r="L67" s="5" t="str">
        <f t="shared" ref="L67:L101" si="17">IF(K67&gt;$C$104*1.3,"Top core",
 IF(K67&gt;=$C$104*1.1,"Good",
 IF(K67&gt;=$C$104*0.9,"Average",
 IF(K67&gt;=$C$104*0.7,"Below avg","Low"))))</f>
        <v>Low</v>
      </c>
      <c r="M67" s="8" t="s">
        <v>92</v>
      </c>
      <c r="N67" s="4">
        <v>18.6</v>
      </c>
      <c r="O67" s="5">
        <f t="shared" si="7"/>
        <v>3.1</v>
      </c>
      <c r="P67" s="5" t="str">
        <f t="shared" si="15"/>
        <v>Top core</v>
      </c>
      <c r="Q67" s="6"/>
    </row>
    <row r="68" ht="22.5" customHeight="1">
      <c r="A68" s="11" t="s">
        <v>93</v>
      </c>
      <c r="B68" s="4">
        <v>1.8</v>
      </c>
      <c r="C68" s="5">
        <f t="shared" si="1"/>
        <v>0.36</v>
      </c>
      <c r="D68" s="5" t="str">
        <f t="shared" si="11"/>
        <v>Low</v>
      </c>
      <c r="E68" s="8" t="s">
        <v>89</v>
      </c>
      <c r="F68" s="4">
        <v>3.9</v>
      </c>
      <c r="G68" s="5">
        <f t="shared" si="3"/>
        <v>1.95</v>
      </c>
      <c r="H68" s="5" t="str">
        <f t="shared" si="16"/>
        <v>Top core</v>
      </c>
      <c r="I68" s="8" t="s">
        <v>91</v>
      </c>
      <c r="J68" s="4">
        <v>9.5</v>
      </c>
      <c r="K68" s="5">
        <f t="shared" si="5"/>
        <v>1.583333333</v>
      </c>
      <c r="L68" s="5" t="str">
        <f t="shared" si="17"/>
        <v>Top core</v>
      </c>
      <c r="M68" s="8" t="s">
        <v>94</v>
      </c>
      <c r="N68" s="4">
        <v>8.7</v>
      </c>
      <c r="O68" s="5">
        <f t="shared" si="7"/>
        <v>1.45</v>
      </c>
      <c r="P68" s="5" t="str">
        <f t="shared" si="15"/>
        <v>Top core</v>
      </c>
      <c r="Q68" s="6"/>
    </row>
    <row r="69" ht="22.5" customHeight="1">
      <c r="A69" s="11" t="s">
        <v>95</v>
      </c>
      <c r="B69" s="4">
        <v>2.0</v>
      </c>
      <c r="C69" s="5">
        <f t="shared" si="1"/>
        <v>0.4</v>
      </c>
      <c r="D69" s="5" t="str">
        <f t="shared" si="11"/>
        <v>Low</v>
      </c>
      <c r="E69" s="8" t="s">
        <v>96</v>
      </c>
      <c r="F69" s="4">
        <v>0.583</v>
      </c>
      <c r="G69" s="5">
        <f t="shared" si="3"/>
        <v>0.2915</v>
      </c>
      <c r="H69" s="5" t="str">
        <f t="shared" si="16"/>
        <v>Low</v>
      </c>
      <c r="I69" s="8" t="s">
        <v>89</v>
      </c>
      <c r="J69" s="4">
        <v>5.4</v>
      </c>
      <c r="K69" s="5">
        <f t="shared" si="5"/>
        <v>0.9</v>
      </c>
      <c r="L69" s="5" t="str">
        <f t="shared" si="17"/>
        <v>Below avg</v>
      </c>
      <c r="M69" s="8" t="s">
        <v>97</v>
      </c>
      <c r="N69" s="4">
        <v>4.4</v>
      </c>
      <c r="O69" s="5">
        <f t="shared" si="7"/>
        <v>0.7333333333</v>
      </c>
      <c r="P69" s="5" t="str">
        <f t="shared" si="15"/>
        <v>Below avg</v>
      </c>
      <c r="Q69" s="6"/>
    </row>
    <row r="70" ht="22.5" customHeight="1">
      <c r="A70" s="11" t="s">
        <v>98</v>
      </c>
      <c r="B70" s="4">
        <v>1.3</v>
      </c>
      <c r="C70" s="5">
        <f t="shared" si="1"/>
        <v>0.26</v>
      </c>
      <c r="D70" s="5" t="str">
        <f t="shared" si="11"/>
        <v>Low</v>
      </c>
      <c r="E70" s="8" t="s">
        <v>92</v>
      </c>
      <c r="F70" s="4">
        <v>5.3</v>
      </c>
      <c r="G70" s="5">
        <f t="shared" si="3"/>
        <v>2.65</v>
      </c>
      <c r="H70" s="5" t="str">
        <f t="shared" si="16"/>
        <v>Top core</v>
      </c>
      <c r="I70" s="8" t="s">
        <v>92</v>
      </c>
      <c r="J70" s="4">
        <v>20.3</v>
      </c>
      <c r="K70" s="5">
        <f t="shared" si="5"/>
        <v>3.383333333</v>
      </c>
      <c r="L70" s="5" t="str">
        <f t="shared" si="17"/>
        <v>Top core</v>
      </c>
      <c r="M70" s="8" t="s">
        <v>99</v>
      </c>
      <c r="N70" s="4">
        <v>7.2</v>
      </c>
      <c r="O70" s="5">
        <f t="shared" si="7"/>
        <v>1.2</v>
      </c>
      <c r="P70" s="19" t="str">
        <f t="shared" si="15"/>
        <v>Good</v>
      </c>
      <c r="Q70" s="6"/>
    </row>
    <row r="71" ht="22.5" customHeight="1">
      <c r="A71" s="11" t="s">
        <v>100</v>
      </c>
      <c r="B71" s="4">
        <v>1.5</v>
      </c>
      <c r="C71" s="5">
        <f t="shared" si="1"/>
        <v>0.3</v>
      </c>
      <c r="D71" s="5" t="str">
        <f t="shared" si="11"/>
        <v>Low</v>
      </c>
      <c r="E71" s="8" t="s">
        <v>94</v>
      </c>
      <c r="F71" s="4">
        <v>7.2</v>
      </c>
      <c r="G71" s="5">
        <f t="shared" si="3"/>
        <v>3.6</v>
      </c>
      <c r="H71" s="5" t="str">
        <f t="shared" si="16"/>
        <v>Top core</v>
      </c>
      <c r="I71" s="8" t="s">
        <v>94</v>
      </c>
      <c r="J71" s="4">
        <v>5.5</v>
      </c>
      <c r="K71" s="5">
        <f t="shared" si="5"/>
        <v>0.9166666667</v>
      </c>
      <c r="L71" s="5" t="str">
        <f t="shared" si="17"/>
        <v>Below avg</v>
      </c>
      <c r="M71" s="8" t="s">
        <v>101</v>
      </c>
      <c r="N71" s="4">
        <v>8.6</v>
      </c>
      <c r="O71" s="5">
        <f t="shared" si="7"/>
        <v>1.433333333</v>
      </c>
      <c r="P71" s="5" t="str">
        <f t="shared" si="15"/>
        <v>Top core</v>
      </c>
      <c r="Q71" s="20"/>
    </row>
    <row r="72" ht="22.5" customHeight="1">
      <c r="A72" s="11" t="s">
        <v>102</v>
      </c>
      <c r="B72" s="4">
        <v>0.634</v>
      </c>
      <c r="C72" s="5">
        <f t="shared" si="1"/>
        <v>0.1268</v>
      </c>
      <c r="D72" s="5" t="str">
        <f t="shared" si="11"/>
        <v>Low</v>
      </c>
      <c r="E72" s="8" t="s">
        <v>97</v>
      </c>
      <c r="F72" s="21">
        <v>2.4</v>
      </c>
      <c r="G72" s="22">
        <f t="shared" si="3"/>
        <v>1.2</v>
      </c>
      <c r="H72" s="19" t="str">
        <f t="shared" si="16"/>
        <v>Good</v>
      </c>
      <c r="I72" s="8" t="s">
        <v>97</v>
      </c>
      <c r="J72" s="4">
        <v>5.6</v>
      </c>
      <c r="K72" s="5">
        <f t="shared" si="5"/>
        <v>0.9333333333</v>
      </c>
      <c r="L72" s="19" t="str">
        <f t="shared" si="17"/>
        <v>Average</v>
      </c>
      <c r="M72" s="8" t="s">
        <v>103</v>
      </c>
      <c r="N72" s="4">
        <v>2.3</v>
      </c>
      <c r="O72" s="5">
        <f t="shared" si="7"/>
        <v>0.3833333333</v>
      </c>
      <c r="P72" s="5" t="str">
        <f t="shared" si="15"/>
        <v>Low</v>
      </c>
      <c r="Q72" s="6"/>
    </row>
    <row r="73" ht="22.5" customHeight="1">
      <c r="A73" s="11" t="s">
        <v>104</v>
      </c>
      <c r="B73" s="4">
        <v>1.1</v>
      </c>
      <c r="C73" s="5">
        <f t="shared" si="1"/>
        <v>0.22</v>
      </c>
      <c r="D73" s="5" t="str">
        <f t="shared" si="11"/>
        <v>Low</v>
      </c>
      <c r="E73" s="8" t="s">
        <v>99</v>
      </c>
      <c r="F73" s="4">
        <v>0.463</v>
      </c>
      <c r="G73" s="5">
        <f t="shared" si="3"/>
        <v>0.2315</v>
      </c>
      <c r="H73" s="5" t="str">
        <f t="shared" si="16"/>
        <v>Low</v>
      </c>
      <c r="I73" s="8" t="s">
        <v>99</v>
      </c>
      <c r="J73" s="4">
        <v>4.9</v>
      </c>
      <c r="K73" s="5">
        <f t="shared" si="5"/>
        <v>0.8166666667</v>
      </c>
      <c r="L73" s="5" t="str">
        <f t="shared" si="17"/>
        <v>Below avg</v>
      </c>
      <c r="M73" s="8" t="s">
        <v>105</v>
      </c>
      <c r="N73" s="4">
        <v>3.1</v>
      </c>
      <c r="O73" s="5">
        <f t="shared" si="7"/>
        <v>0.5166666667</v>
      </c>
      <c r="P73" s="5" t="str">
        <f t="shared" si="15"/>
        <v>Low</v>
      </c>
      <c r="Q73" s="6"/>
    </row>
    <row r="74" ht="22.5" customHeight="1">
      <c r="A74" s="11" t="s">
        <v>106</v>
      </c>
      <c r="B74" s="4">
        <v>7.1</v>
      </c>
      <c r="C74" s="5">
        <f t="shared" si="1"/>
        <v>1.42</v>
      </c>
      <c r="D74" s="5" t="str">
        <f t="shared" si="11"/>
        <v>Top core</v>
      </c>
      <c r="E74" s="8" t="s">
        <v>101</v>
      </c>
      <c r="F74" s="4">
        <v>2.6</v>
      </c>
      <c r="G74" s="5">
        <f t="shared" si="3"/>
        <v>1.3</v>
      </c>
      <c r="H74" s="5" t="str">
        <f t="shared" si="16"/>
        <v>Good</v>
      </c>
      <c r="I74" s="8" t="s">
        <v>101</v>
      </c>
      <c r="J74" s="4">
        <v>5.6</v>
      </c>
      <c r="K74" s="5">
        <f t="shared" si="5"/>
        <v>0.9333333333</v>
      </c>
      <c r="L74" s="5" t="str">
        <f t="shared" si="17"/>
        <v>Average</v>
      </c>
      <c r="M74" s="8" t="s">
        <v>107</v>
      </c>
      <c r="N74" s="4">
        <v>3.1</v>
      </c>
      <c r="O74" s="5">
        <f t="shared" si="7"/>
        <v>0.5166666667</v>
      </c>
      <c r="P74" s="5" t="str">
        <f t="shared" si="15"/>
        <v>Low</v>
      </c>
      <c r="Q74" s="6"/>
    </row>
    <row r="75" ht="22.5" customHeight="1">
      <c r="A75" s="11" t="s">
        <v>108</v>
      </c>
      <c r="B75" s="4">
        <v>0.245</v>
      </c>
      <c r="C75" s="5">
        <f t="shared" si="1"/>
        <v>0.049</v>
      </c>
      <c r="D75" s="5" t="str">
        <f t="shared" si="11"/>
        <v>Low</v>
      </c>
      <c r="E75" s="8" t="s">
        <v>103</v>
      </c>
      <c r="F75" s="4">
        <v>1.0</v>
      </c>
      <c r="G75" s="5">
        <f t="shared" si="3"/>
        <v>0.5</v>
      </c>
      <c r="H75" s="5" t="str">
        <f t="shared" si="16"/>
        <v>Low</v>
      </c>
      <c r="I75" s="8" t="s">
        <v>103</v>
      </c>
      <c r="J75" s="4">
        <v>1.4</v>
      </c>
      <c r="K75" s="5">
        <f t="shared" si="5"/>
        <v>0.2333333333</v>
      </c>
      <c r="L75" s="5" t="str">
        <f t="shared" si="17"/>
        <v>Low</v>
      </c>
      <c r="M75" s="8" t="s">
        <v>109</v>
      </c>
      <c r="N75" s="4">
        <v>11.0</v>
      </c>
      <c r="O75" s="5">
        <f t="shared" si="7"/>
        <v>1.833333333</v>
      </c>
      <c r="P75" s="5" t="str">
        <f t="shared" si="15"/>
        <v>Top core</v>
      </c>
      <c r="Q75" s="6"/>
    </row>
    <row r="76" ht="22.5" customHeight="1">
      <c r="A76" s="11" t="s">
        <v>110</v>
      </c>
      <c r="B76" s="4">
        <v>0.662</v>
      </c>
      <c r="C76" s="5">
        <f t="shared" si="1"/>
        <v>0.1324</v>
      </c>
      <c r="D76" s="5" t="str">
        <f t="shared" si="11"/>
        <v>Low</v>
      </c>
      <c r="E76" s="8" t="s">
        <v>105</v>
      </c>
      <c r="F76" s="4">
        <v>0.262</v>
      </c>
      <c r="G76" s="5">
        <f t="shared" si="3"/>
        <v>0.131</v>
      </c>
      <c r="H76" s="5" t="str">
        <f t="shared" si="16"/>
        <v>Low</v>
      </c>
      <c r="I76" s="8" t="s">
        <v>105</v>
      </c>
      <c r="J76" s="4">
        <v>3.2</v>
      </c>
      <c r="K76" s="5">
        <f t="shared" si="5"/>
        <v>0.5333333333</v>
      </c>
      <c r="L76" s="5" t="str">
        <f t="shared" si="17"/>
        <v>Low</v>
      </c>
      <c r="M76" s="8" t="s">
        <v>111</v>
      </c>
      <c r="N76" s="4">
        <v>13.9</v>
      </c>
      <c r="O76" s="5">
        <f t="shared" si="7"/>
        <v>2.316666667</v>
      </c>
      <c r="P76" s="5" t="str">
        <f t="shared" si="15"/>
        <v>Top core</v>
      </c>
      <c r="Q76" s="6"/>
    </row>
    <row r="77" ht="22.5" customHeight="1">
      <c r="A77" s="11" t="s">
        <v>112</v>
      </c>
      <c r="B77" s="4">
        <v>7.7</v>
      </c>
      <c r="C77" s="5">
        <f t="shared" si="1"/>
        <v>1.54</v>
      </c>
      <c r="D77" s="5" t="str">
        <f t="shared" si="11"/>
        <v>Top core</v>
      </c>
      <c r="E77" s="8" t="s">
        <v>107</v>
      </c>
      <c r="F77" s="4">
        <v>1.7</v>
      </c>
      <c r="G77" s="5">
        <f t="shared" si="3"/>
        <v>0.85</v>
      </c>
      <c r="H77" s="5" t="str">
        <f t="shared" si="16"/>
        <v>Below avg</v>
      </c>
      <c r="I77" s="8" t="s">
        <v>107</v>
      </c>
      <c r="J77" s="4">
        <v>2.4</v>
      </c>
      <c r="K77" s="5">
        <f t="shared" si="5"/>
        <v>0.4</v>
      </c>
      <c r="L77" s="5" t="str">
        <f t="shared" si="17"/>
        <v>Low</v>
      </c>
      <c r="M77" s="8" t="s">
        <v>113</v>
      </c>
      <c r="N77" s="4">
        <v>11.0</v>
      </c>
      <c r="O77" s="5">
        <f t="shared" si="7"/>
        <v>1.833333333</v>
      </c>
      <c r="P77" s="5" t="str">
        <f t="shared" si="15"/>
        <v>Top core</v>
      </c>
      <c r="Q77" s="6"/>
    </row>
    <row r="78" ht="22.5" customHeight="1">
      <c r="A78" s="11" t="s">
        <v>114</v>
      </c>
      <c r="B78" s="4">
        <v>0.796</v>
      </c>
      <c r="C78" s="5">
        <f t="shared" si="1"/>
        <v>0.1592</v>
      </c>
      <c r="D78" s="5" t="str">
        <f t="shared" si="11"/>
        <v>Low</v>
      </c>
      <c r="E78" s="23" t="s">
        <v>78</v>
      </c>
      <c r="F78" s="4">
        <v>0.15</v>
      </c>
      <c r="G78" s="5">
        <f t="shared" si="3"/>
        <v>0.075</v>
      </c>
      <c r="H78" s="5" t="str">
        <f t="shared" si="16"/>
        <v>Low</v>
      </c>
      <c r="I78" s="23" t="s">
        <v>78</v>
      </c>
      <c r="J78" s="4">
        <v>0.338</v>
      </c>
      <c r="K78" s="5">
        <f t="shared" si="5"/>
        <v>0.05633333333</v>
      </c>
      <c r="L78" s="5" t="str">
        <f t="shared" si="17"/>
        <v>Low</v>
      </c>
      <c r="M78" s="8" t="s">
        <v>115</v>
      </c>
      <c r="N78" s="4">
        <v>19.6</v>
      </c>
      <c r="O78" s="5">
        <f t="shared" si="7"/>
        <v>3.266666667</v>
      </c>
      <c r="P78" s="5" t="str">
        <f t="shared" si="15"/>
        <v>Top core</v>
      </c>
      <c r="Q78" s="6"/>
    </row>
    <row r="79" ht="22.5" customHeight="1">
      <c r="A79" s="11" t="s">
        <v>116</v>
      </c>
      <c r="B79" s="4">
        <v>4.6</v>
      </c>
      <c r="C79" s="5">
        <f t="shared" si="1"/>
        <v>0.92</v>
      </c>
      <c r="D79" s="5" t="str">
        <f t="shared" si="11"/>
        <v>Average</v>
      </c>
      <c r="E79" s="23" t="s">
        <v>79</v>
      </c>
      <c r="F79" s="4">
        <v>0.215</v>
      </c>
      <c r="G79" s="5">
        <f t="shared" si="3"/>
        <v>0.1075</v>
      </c>
      <c r="H79" s="5" t="str">
        <f t="shared" si="16"/>
        <v>Low</v>
      </c>
      <c r="I79" s="23" t="s">
        <v>79</v>
      </c>
      <c r="J79" s="4">
        <v>2.0</v>
      </c>
      <c r="K79" s="5">
        <f t="shared" si="5"/>
        <v>0.3333333333</v>
      </c>
      <c r="L79" s="5" t="str">
        <f t="shared" si="17"/>
        <v>Low</v>
      </c>
      <c r="M79" s="8" t="s">
        <v>46</v>
      </c>
      <c r="N79" s="4">
        <v>11.1</v>
      </c>
      <c r="O79" s="5">
        <f t="shared" si="7"/>
        <v>1.85</v>
      </c>
      <c r="P79" s="5" t="str">
        <f t="shared" si="15"/>
        <v>Top core</v>
      </c>
      <c r="Q79" s="6"/>
    </row>
    <row r="80" ht="22.5" customHeight="1">
      <c r="A80" s="11" t="s">
        <v>117</v>
      </c>
      <c r="B80" s="4">
        <v>2.0</v>
      </c>
      <c r="C80" s="5">
        <f t="shared" si="1"/>
        <v>0.4</v>
      </c>
      <c r="D80" s="5" t="str">
        <f t="shared" si="11"/>
        <v>Low</v>
      </c>
      <c r="E80" s="23" t="s">
        <v>82</v>
      </c>
      <c r="F80" s="4">
        <v>0.775</v>
      </c>
      <c r="G80" s="5">
        <f t="shared" si="3"/>
        <v>0.3875</v>
      </c>
      <c r="H80" s="5" t="str">
        <f t="shared" si="16"/>
        <v>Low</v>
      </c>
      <c r="I80" s="23" t="s">
        <v>82</v>
      </c>
      <c r="J80" s="4">
        <v>2.0</v>
      </c>
      <c r="K80" s="5">
        <f t="shared" si="5"/>
        <v>0.3333333333</v>
      </c>
      <c r="L80" s="5" t="str">
        <f t="shared" si="17"/>
        <v>Low</v>
      </c>
      <c r="M80" s="23" t="s">
        <v>78</v>
      </c>
      <c r="N80" s="4">
        <v>0.28</v>
      </c>
      <c r="O80" s="5">
        <f t="shared" si="7"/>
        <v>0.04666666667</v>
      </c>
      <c r="P80" s="5" t="str">
        <f t="shared" si="15"/>
        <v>Low</v>
      </c>
      <c r="Q80" s="6"/>
    </row>
    <row r="81" ht="22.5" customHeight="1">
      <c r="A81" s="11" t="s">
        <v>118</v>
      </c>
      <c r="B81" s="4">
        <v>0.986</v>
      </c>
      <c r="C81" s="5">
        <f t="shared" si="1"/>
        <v>0.1972</v>
      </c>
      <c r="D81" s="5" t="str">
        <f t="shared" si="11"/>
        <v>Low</v>
      </c>
      <c r="E81" s="23" t="s">
        <v>84</v>
      </c>
      <c r="F81" s="4">
        <v>0.482</v>
      </c>
      <c r="G81" s="5">
        <f t="shared" si="3"/>
        <v>0.241</v>
      </c>
      <c r="H81" s="5" t="str">
        <f t="shared" si="16"/>
        <v>Low</v>
      </c>
      <c r="I81" s="23" t="s">
        <v>84</v>
      </c>
      <c r="J81" s="4">
        <v>2.0</v>
      </c>
      <c r="K81" s="5">
        <f t="shared" si="5"/>
        <v>0.3333333333</v>
      </c>
      <c r="L81" s="5" t="str">
        <f t="shared" si="17"/>
        <v>Low</v>
      </c>
      <c r="M81" s="23" t="s">
        <v>79</v>
      </c>
      <c r="N81" s="4">
        <v>2.9</v>
      </c>
      <c r="O81" s="5">
        <f t="shared" si="7"/>
        <v>0.4833333333</v>
      </c>
      <c r="P81" s="5" t="str">
        <f t="shared" si="15"/>
        <v>Low</v>
      </c>
      <c r="Q81" s="6"/>
    </row>
    <row r="82" ht="22.5" customHeight="1">
      <c r="A82" s="11" t="s">
        <v>119</v>
      </c>
      <c r="B82" s="4">
        <v>1.3</v>
      </c>
      <c r="C82" s="5">
        <f t="shared" si="1"/>
        <v>0.26</v>
      </c>
      <c r="D82" s="5" t="str">
        <f t="shared" si="11"/>
        <v>Low</v>
      </c>
      <c r="E82" s="23" t="s">
        <v>86</v>
      </c>
      <c r="F82" s="4">
        <v>0.817</v>
      </c>
      <c r="G82" s="5">
        <f t="shared" si="3"/>
        <v>0.4085</v>
      </c>
      <c r="H82" s="5" t="str">
        <f t="shared" si="16"/>
        <v>Low</v>
      </c>
      <c r="I82" s="23" t="s">
        <v>86</v>
      </c>
      <c r="J82" s="4">
        <v>2.5</v>
      </c>
      <c r="K82" s="5">
        <f t="shared" si="5"/>
        <v>0.4166666667</v>
      </c>
      <c r="L82" s="5" t="str">
        <f t="shared" si="17"/>
        <v>Low</v>
      </c>
      <c r="M82" s="23" t="s">
        <v>82</v>
      </c>
      <c r="N82" s="4">
        <v>1.6</v>
      </c>
      <c r="O82" s="5">
        <f t="shared" si="7"/>
        <v>0.2666666667</v>
      </c>
      <c r="P82" s="5" t="str">
        <f t="shared" si="15"/>
        <v>Low</v>
      </c>
      <c r="Q82" s="6"/>
    </row>
    <row r="83" ht="22.5" customHeight="1">
      <c r="A83" s="11" t="s">
        <v>120</v>
      </c>
      <c r="B83" s="4">
        <v>1.8</v>
      </c>
      <c r="C83" s="5">
        <f t="shared" si="1"/>
        <v>0.36</v>
      </c>
      <c r="D83" s="5" t="str">
        <f t="shared" si="11"/>
        <v>Low</v>
      </c>
      <c r="E83" s="23" t="s">
        <v>88</v>
      </c>
      <c r="F83" s="4">
        <v>1.2</v>
      </c>
      <c r="G83" s="5">
        <f t="shared" si="3"/>
        <v>0.6</v>
      </c>
      <c r="H83" s="5" t="str">
        <f t="shared" si="16"/>
        <v>Low</v>
      </c>
      <c r="I83" s="23" t="s">
        <v>88</v>
      </c>
      <c r="J83" s="4">
        <v>1.5</v>
      </c>
      <c r="K83" s="5">
        <f t="shared" si="5"/>
        <v>0.25</v>
      </c>
      <c r="L83" s="5" t="str">
        <f t="shared" si="17"/>
        <v>Low</v>
      </c>
      <c r="M83" s="23" t="s">
        <v>84</v>
      </c>
      <c r="N83" s="4">
        <v>1.1</v>
      </c>
      <c r="O83" s="5">
        <f t="shared" si="7"/>
        <v>0.1833333333</v>
      </c>
      <c r="P83" s="5" t="str">
        <f t="shared" si="15"/>
        <v>Low</v>
      </c>
      <c r="Q83" s="6"/>
    </row>
    <row r="84" ht="22.5" customHeight="1">
      <c r="A84" s="11" t="s">
        <v>94</v>
      </c>
      <c r="B84" s="4">
        <v>0.472</v>
      </c>
      <c r="C84" s="5">
        <f t="shared" si="1"/>
        <v>0.0944</v>
      </c>
      <c r="D84" s="5" t="str">
        <f t="shared" si="11"/>
        <v>Low</v>
      </c>
      <c r="E84" s="23" t="s">
        <v>90</v>
      </c>
      <c r="F84" s="4">
        <v>0.0</v>
      </c>
      <c r="G84" s="5">
        <f t="shared" si="3"/>
        <v>0</v>
      </c>
      <c r="H84" s="5" t="str">
        <f t="shared" si="16"/>
        <v>Low</v>
      </c>
      <c r="I84" s="23" t="s">
        <v>90</v>
      </c>
      <c r="J84" s="4">
        <v>2.5</v>
      </c>
      <c r="K84" s="5">
        <f t="shared" si="5"/>
        <v>0.4166666667</v>
      </c>
      <c r="L84" s="5" t="str">
        <f t="shared" si="17"/>
        <v>Low</v>
      </c>
      <c r="M84" s="23" t="s">
        <v>86</v>
      </c>
      <c r="N84" s="4">
        <v>6.1</v>
      </c>
      <c r="O84" s="5">
        <f t="shared" si="7"/>
        <v>1.016666667</v>
      </c>
      <c r="P84" s="5" t="str">
        <f t="shared" si="15"/>
        <v>Average</v>
      </c>
      <c r="Q84" s="6"/>
    </row>
    <row r="85" ht="22.5" customHeight="1">
      <c r="A85" s="11" t="s">
        <v>83</v>
      </c>
      <c r="B85" s="4">
        <v>2.6</v>
      </c>
      <c r="C85" s="24">
        <f>B85/3</f>
        <v>0.8666666667</v>
      </c>
      <c r="D85" s="5" t="str">
        <f t="shared" si="11"/>
        <v>Below avg</v>
      </c>
      <c r="E85" s="23" t="s">
        <v>93</v>
      </c>
      <c r="F85" s="4">
        <v>0.626</v>
      </c>
      <c r="G85" s="5">
        <f t="shared" si="3"/>
        <v>0.313</v>
      </c>
      <c r="H85" s="5" t="str">
        <f t="shared" si="16"/>
        <v>Low</v>
      </c>
      <c r="I85" s="23" t="s">
        <v>93</v>
      </c>
      <c r="J85" s="4">
        <v>3.8</v>
      </c>
      <c r="K85" s="5">
        <f t="shared" si="5"/>
        <v>0.6333333333</v>
      </c>
      <c r="L85" s="5" t="str">
        <f t="shared" si="17"/>
        <v>Low</v>
      </c>
      <c r="M85" s="23" t="s">
        <v>88</v>
      </c>
      <c r="N85" s="4">
        <v>1.4</v>
      </c>
      <c r="O85" s="5">
        <f t="shared" si="7"/>
        <v>0.2333333333</v>
      </c>
      <c r="P85" s="5" t="str">
        <f t="shared" si="15"/>
        <v>Low</v>
      </c>
      <c r="Q85" s="6"/>
    </row>
    <row r="86" ht="22.5" customHeight="1">
      <c r="A86" s="11" t="s">
        <v>121</v>
      </c>
      <c r="B86" s="4">
        <v>8.3</v>
      </c>
      <c r="C86" s="24">
        <f t="shared" ref="C86:C88" si="18">B86/5</f>
        <v>1.66</v>
      </c>
      <c r="D86" s="5" t="str">
        <f t="shared" si="11"/>
        <v>Top core</v>
      </c>
      <c r="E86" s="23" t="s">
        <v>98</v>
      </c>
      <c r="F86" s="4">
        <v>0.496</v>
      </c>
      <c r="G86" s="5">
        <f t="shared" si="3"/>
        <v>0.248</v>
      </c>
      <c r="H86" s="5" t="str">
        <f t="shared" si="16"/>
        <v>Low</v>
      </c>
      <c r="I86" s="23" t="s">
        <v>98</v>
      </c>
      <c r="J86" s="4">
        <v>1.2</v>
      </c>
      <c r="K86" s="5">
        <f t="shared" si="5"/>
        <v>0.2</v>
      </c>
      <c r="L86" s="5" t="str">
        <f t="shared" si="17"/>
        <v>Low</v>
      </c>
      <c r="M86" s="23" t="s">
        <v>90</v>
      </c>
      <c r="N86" s="4">
        <v>3.3</v>
      </c>
      <c r="O86" s="5">
        <f t="shared" si="7"/>
        <v>0.55</v>
      </c>
      <c r="P86" s="5" t="str">
        <f t="shared" si="15"/>
        <v>Low</v>
      </c>
      <c r="Q86" s="6"/>
    </row>
    <row r="87" ht="22.5" customHeight="1">
      <c r="A87" s="11" t="s">
        <v>91</v>
      </c>
      <c r="B87" s="4">
        <v>0.416</v>
      </c>
      <c r="C87" s="24">
        <f t="shared" si="18"/>
        <v>0.0832</v>
      </c>
      <c r="D87" s="5" t="str">
        <f t="shared" si="11"/>
        <v>Low</v>
      </c>
      <c r="E87" s="23" t="s">
        <v>100</v>
      </c>
      <c r="F87" s="4">
        <v>0.238</v>
      </c>
      <c r="G87" s="5">
        <f t="shared" si="3"/>
        <v>0.119</v>
      </c>
      <c r="H87" s="5" t="str">
        <f t="shared" si="16"/>
        <v>Low</v>
      </c>
      <c r="I87" s="23" t="s">
        <v>100</v>
      </c>
      <c r="J87" s="4">
        <v>1.0</v>
      </c>
      <c r="K87" s="5">
        <f t="shared" si="5"/>
        <v>0.1666666667</v>
      </c>
      <c r="L87" s="5" t="str">
        <f t="shared" si="17"/>
        <v>Low</v>
      </c>
      <c r="M87" s="23" t="s">
        <v>93</v>
      </c>
      <c r="N87" s="4">
        <v>3.3</v>
      </c>
      <c r="O87" s="5">
        <f t="shared" si="7"/>
        <v>0.55</v>
      </c>
      <c r="P87" s="5" t="str">
        <f t="shared" si="15"/>
        <v>Low</v>
      </c>
      <c r="Q87" s="6"/>
    </row>
    <row r="88" ht="22.5" customHeight="1">
      <c r="A88" s="11" t="s">
        <v>122</v>
      </c>
      <c r="B88" s="4">
        <v>6.1</v>
      </c>
      <c r="C88" s="24">
        <f t="shared" si="18"/>
        <v>1.22</v>
      </c>
      <c r="D88" s="5" t="str">
        <f t="shared" si="11"/>
        <v>Good</v>
      </c>
      <c r="E88" s="23" t="s">
        <v>104</v>
      </c>
      <c r="F88" s="4">
        <v>0.172</v>
      </c>
      <c r="G88" s="5">
        <f t="shared" si="3"/>
        <v>0.086</v>
      </c>
      <c r="H88" s="5" t="str">
        <f t="shared" si="16"/>
        <v>Low</v>
      </c>
      <c r="I88" s="23" t="s">
        <v>104</v>
      </c>
      <c r="J88" s="4">
        <v>10.7</v>
      </c>
      <c r="K88" s="5">
        <f t="shared" si="5"/>
        <v>1.783333333</v>
      </c>
      <c r="L88" s="5" t="str">
        <f t="shared" si="17"/>
        <v>Top core</v>
      </c>
      <c r="M88" s="23" t="s">
        <v>98</v>
      </c>
      <c r="N88" s="4">
        <v>1.9</v>
      </c>
      <c r="O88" s="5">
        <f t="shared" si="7"/>
        <v>0.3166666667</v>
      </c>
      <c r="P88" s="5" t="str">
        <f t="shared" si="15"/>
        <v>Low</v>
      </c>
      <c r="Q88" s="6"/>
    </row>
    <row r="89" ht="22.5" customHeight="1">
      <c r="A89" s="11" t="s">
        <v>99</v>
      </c>
      <c r="B89" s="4">
        <v>0.577</v>
      </c>
      <c r="C89" s="5">
        <f t="shared" ref="C89:C90" si="19">B89/3</f>
        <v>0.1923333333</v>
      </c>
      <c r="D89" s="5" t="str">
        <f t="shared" si="11"/>
        <v>Low</v>
      </c>
      <c r="E89" s="23" t="s">
        <v>106</v>
      </c>
      <c r="F89" s="4">
        <v>4.8</v>
      </c>
      <c r="G89" s="5">
        <f t="shared" si="3"/>
        <v>2.4</v>
      </c>
      <c r="H89" s="5" t="str">
        <f t="shared" si="16"/>
        <v>Top core</v>
      </c>
      <c r="I89" s="23" t="s">
        <v>106</v>
      </c>
      <c r="J89" s="4">
        <v>0.254</v>
      </c>
      <c r="K89" s="5">
        <f t="shared" si="5"/>
        <v>0.04233333333</v>
      </c>
      <c r="L89" s="5" t="str">
        <f t="shared" si="17"/>
        <v>Low</v>
      </c>
      <c r="M89" s="23" t="s">
        <v>100</v>
      </c>
      <c r="N89" s="4">
        <v>1.1</v>
      </c>
      <c r="O89" s="5">
        <f t="shared" si="7"/>
        <v>0.1833333333</v>
      </c>
      <c r="P89" s="5" t="str">
        <f t="shared" si="15"/>
        <v>Low</v>
      </c>
      <c r="Q89" s="6"/>
    </row>
    <row r="90" ht="22.5" customHeight="1">
      <c r="A90" s="11" t="s">
        <v>123</v>
      </c>
      <c r="B90" s="4">
        <v>1.6</v>
      </c>
      <c r="C90" s="24">
        <f t="shared" si="19"/>
        <v>0.5333333333</v>
      </c>
      <c r="D90" s="5" t="str">
        <f t="shared" si="11"/>
        <v>Low</v>
      </c>
      <c r="E90" s="23" t="s">
        <v>110</v>
      </c>
      <c r="F90" s="4">
        <v>0.16</v>
      </c>
      <c r="G90" s="5">
        <f t="shared" si="3"/>
        <v>0.08</v>
      </c>
      <c r="H90" s="5" t="str">
        <f t="shared" si="16"/>
        <v>Low</v>
      </c>
      <c r="I90" s="23" t="s">
        <v>110</v>
      </c>
      <c r="J90" s="21">
        <v>7.2</v>
      </c>
      <c r="K90" s="5">
        <f t="shared" si="5"/>
        <v>1.2</v>
      </c>
      <c r="L90" s="5" t="str">
        <f t="shared" si="17"/>
        <v>Good</v>
      </c>
      <c r="M90" s="23" t="s">
        <v>104</v>
      </c>
      <c r="N90" s="4">
        <v>10.3</v>
      </c>
      <c r="O90" s="5">
        <f t="shared" si="7"/>
        <v>1.716666667</v>
      </c>
      <c r="P90" s="5" t="str">
        <f t="shared" si="15"/>
        <v>Top core</v>
      </c>
      <c r="Q90" s="6"/>
    </row>
    <row r="91" ht="22.5" customHeight="1">
      <c r="A91" s="11" t="s">
        <v>105</v>
      </c>
      <c r="B91" s="4">
        <v>1.2</v>
      </c>
      <c r="C91" s="5">
        <f t="shared" ref="C91:C94" si="20">B91/5</f>
        <v>0.24</v>
      </c>
      <c r="D91" s="5" t="str">
        <f t="shared" si="11"/>
        <v>Low</v>
      </c>
      <c r="E91" s="23" t="s">
        <v>112</v>
      </c>
      <c r="F91" s="4">
        <v>1.2</v>
      </c>
      <c r="G91" s="5">
        <f t="shared" si="3"/>
        <v>0.6</v>
      </c>
      <c r="H91" s="5" t="str">
        <f t="shared" si="16"/>
        <v>Low</v>
      </c>
      <c r="I91" s="23" t="s">
        <v>112</v>
      </c>
      <c r="J91" s="4">
        <v>0.71</v>
      </c>
      <c r="K91" s="5">
        <f t="shared" si="5"/>
        <v>0.1183333333</v>
      </c>
      <c r="L91" s="5" t="str">
        <f t="shared" si="17"/>
        <v>Low</v>
      </c>
      <c r="M91" s="23" t="s">
        <v>106</v>
      </c>
      <c r="N91" s="4">
        <v>0.533</v>
      </c>
      <c r="O91" s="5">
        <f t="shared" si="7"/>
        <v>0.08883333333</v>
      </c>
      <c r="P91" s="5" t="str">
        <f t="shared" si="15"/>
        <v>Low</v>
      </c>
      <c r="Q91" s="6"/>
    </row>
    <row r="92" ht="22.5" customHeight="1">
      <c r="A92" s="11" t="s">
        <v>89</v>
      </c>
      <c r="B92" s="4">
        <v>0.343</v>
      </c>
      <c r="C92" s="5">
        <f t="shared" si="20"/>
        <v>0.0686</v>
      </c>
      <c r="D92" s="5" t="str">
        <f t="shared" si="11"/>
        <v>Low</v>
      </c>
      <c r="E92" s="23" t="s">
        <v>124</v>
      </c>
      <c r="F92" s="4">
        <v>0.805</v>
      </c>
      <c r="G92" s="5">
        <f t="shared" si="3"/>
        <v>0.4025</v>
      </c>
      <c r="H92" s="5" t="str">
        <f t="shared" si="16"/>
        <v>Low</v>
      </c>
      <c r="I92" s="23" t="s">
        <v>124</v>
      </c>
      <c r="J92" s="4">
        <v>2.5</v>
      </c>
      <c r="K92" s="5">
        <f t="shared" si="5"/>
        <v>0.4166666667</v>
      </c>
      <c r="L92" s="5" t="str">
        <f t="shared" si="17"/>
        <v>Low</v>
      </c>
      <c r="M92" s="23" t="s">
        <v>110</v>
      </c>
      <c r="N92" s="4">
        <v>10.7</v>
      </c>
      <c r="O92" s="5">
        <f t="shared" si="7"/>
        <v>1.783333333</v>
      </c>
      <c r="P92" s="5" t="str">
        <f t="shared" si="15"/>
        <v>Top core</v>
      </c>
      <c r="Q92" s="6"/>
    </row>
    <row r="93" ht="22.5" customHeight="1">
      <c r="A93" s="11" t="s">
        <v>125</v>
      </c>
      <c r="B93" s="4">
        <v>4.6</v>
      </c>
      <c r="C93" s="5">
        <f t="shared" si="20"/>
        <v>0.92</v>
      </c>
      <c r="D93" s="5" t="str">
        <f t="shared" si="11"/>
        <v>Average</v>
      </c>
      <c r="E93" s="23" t="s">
        <v>122</v>
      </c>
      <c r="F93" s="4">
        <v>1.2</v>
      </c>
      <c r="G93" s="5">
        <f t="shared" si="3"/>
        <v>0.6</v>
      </c>
      <c r="H93" s="5" t="str">
        <f t="shared" si="16"/>
        <v>Low</v>
      </c>
      <c r="I93" s="23" t="s">
        <v>122</v>
      </c>
      <c r="J93" s="4">
        <v>0.765</v>
      </c>
      <c r="K93" s="5">
        <f t="shared" si="5"/>
        <v>0.1275</v>
      </c>
      <c r="L93" s="5" t="str">
        <f t="shared" si="17"/>
        <v>Low</v>
      </c>
      <c r="M93" s="23" t="s">
        <v>112</v>
      </c>
      <c r="N93" s="21">
        <v>1.2</v>
      </c>
      <c r="O93" s="5">
        <f t="shared" si="7"/>
        <v>0.2</v>
      </c>
      <c r="P93" s="5" t="str">
        <f t="shared" si="15"/>
        <v>Low</v>
      </c>
      <c r="Q93" s="6"/>
    </row>
    <row r="94" ht="22.5" customHeight="1">
      <c r="A94" s="11" t="s">
        <v>103</v>
      </c>
      <c r="B94" s="4">
        <v>0.143</v>
      </c>
      <c r="C94" s="5">
        <f t="shared" si="20"/>
        <v>0.0286</v>
      </c>
      <c r="D94" s="5" t="str">
        <f t="shared" si="11"/>
        <v>Low</v>
      </c>
      <c r="E94" s="23" t="s">
        <v>126</v>
      </c>
      <c r="F94" s="4">
        <v>0.299</v>
      </c>
      <c r="G94" s="5">
        <f t="shared" si="3"/>
        <v>0.1495</v>
      </c>
      <c r="H94" s="5" t="str">
        <f t="shared" si="16"/>
        <v>Low</v>
      </c>
      <c r="I94" s="23" t="s">
        <v>126</v>
      </c>
      <c r="J94" s="4">
        <v>0.477</v>
      </c>
      <c r="K94" s="5">
        <f t="shared" si="5"/>
        <v>0.0795</v>
      </c>
      <c r="L94" s="5" t="str">
        <f t="shared" si="17"/>
        <v>Low</v>
      </c>
      <c r="M94" s="23" t="s">
        <v>124</v>
      </c>
      <c r="N94" s="4">
        <v>2.1</v>
      </c>
      <c r="O94" s="5">
        <f t="shared" si="7"/>
        <v>0.35</v>
      </c>
      <c r="P94" s="5" t="str">
        <f t="shared" si="15"/>
        <v>Low</v>
      </c>
      <c r="Q94" s="6"/>
    </row>
    <row r="95" ht="22.5" customHeight="1">
      <c r="A95" s="11" t="s">
        <v>87</v>
      </c>
      <c r="B95" s="4">
        <v>0.231</v>
      </c>
      <c r="C95" s="24">
        <f>B95/1</f>
        <v>0.231</v>
      </c>
      <c r="D95" s="5" t="str">
        <f t="shared" si="11"/>
        <v>Low</v>
      </c>
      <c r="E95" s="11" t="s">
        <v>127</v>
      </c>
      <c r="F95" s="4">
        <v>0.31</v>
      </c>
      <c r="G95" s="5">
        <f t="shared" si="3"/>
        <v>0.155</v>
      </c>
      <c r="H95" s="5" t="str">
        <f t="shared" si="16"/>
        <v>Low</v>
      </c>
      <c r="I95" s="23" t="s">
        <v>114</v>
      </c>
      <c r="J95" s="4">
        <v>5.6</v>
      </c>
      <c r="K95" s="5">
        <f t="shared" si="5"/>
        <v>0.9333333333</v>
      </c>
      <c r="L95" s="5" t="str">
        <f t="shared" si="17"/>
        <v>Average</v>
      </c>
      <c r="M95" s="23" t="s">
        <v>122</v>
      </c>
      <c r="N95" s="4">
        <v>1.0</v>
      </c>
      <c r="O95" s="5">
        <f t="shared" si="7"/>
        <v>0.1666666667</v>
      </c>
      <c r="P95" s="5" t="str">
        <f t="shared" si="15"/>
        <v>Low</v>
      </c>
      <c r="Q95" s="6"/>
    </row>
    <row r="96" ht="22.5" customHeight="1">
      <c r="A96" s="11" t="s">
        <v>127</v>
      </c>
      <c r="B96" s="4">
        <v>2.6</v>
      </c>
      <c r="C96" s="24">
        <f>B96/3</f>
        <v>0.8666666667</v>
      </c>
      <c r="D96" s="5" t="str">
        <f t="shared" si="11"/>
        <v>Below avg</v>
      </c>
      <c r="E96" s="11" t="s">
        <v>125</v>
      </c>
      <c r="F96" s="4">
        <v>0.37</v>
      </c>
      <c r="G96" s="5">
        <f t="shared" si="3"/>
        <v>0.185</v>
      </c>
      <c r="H96" s="5" t="str">
        <f t="shared" si="16"/>
        <v>Low</v>
      </c>
      <c r="I96" s="11" t="s">
        <v>127</v>
      </c>
      <c r="J96" s="4">
        <v>0.269</v>
      </c>
      <c r="K96" s="5">
        <f t="shared" si="5"/>
        <v>0.04483333333</v>
      </c>
      <c r="L96" s="5" t="str">
        <f t="shared" si="17"/>
        <v>Low</v>
      </c>
      <c r="M96" s="23" t="s">
        <v>126</v>
      </c>
      <c r="N96" s="4">
        <v>0.886</v>
      </c>
      <c r="O96" s="5">
        <f t="shared" si="7"/>
        <v>0.1476666667</v>
      </c>
      <c r="P96" s="5" t="str">
        <f t="shared" si="15"/>
        <v>Low</v>
      </c>
      <c r="Q96" s="6"/>
    </row>
    <row r="97" ht="22.5" customHeight="1">
      <c r="A97" s="11" t="s">
        <v>126</v>
      </c>
      <c r="B97" s="4">
        <v>0.204</v>
      </c>
      <c r="C97" s="5">
        <f t="shared" ref="C97:C100" si="21">B97/5</f>
        <v>0.0408</v>
      </c>
      <c r="D97" s="5" t="str">
        <f t="shared" si="11"/>
        <v>Low</v>
      </c>
      <c r="E97" s="11" t="s">
        <v>121</v>
      </c>
      <c r="F97" s="4">
        <v>0.915</v>
      </c>
      <c r="G97" s="5">
        <f t="shared" si="3"/>
        <v>0.4575</v>
      </c>
      <c r="H97" s="5" t="str">
        <f t="shared" si="16"/>
        <v>Low</v>
      </c>
      <c r="I97" s="11" t="s">
        <v>109</v>
      </c>
      <c r="J97" s="4">
        <v>1.8</v>
      </c>
      <c r="K97" s="5">
        <f t="shared" si="5"/>
        <v>0.3</v>
      </c>
      <c r="L97" s="5" t="str">
        <f t="shared" si="17"/>
        <v>Low</v>
      </c>
      <c r="M97" s="23" t="s">
        <v>114</v>
      </c>
      <c r="N97" s="4">
        <v>7.6</v>
      </c>
      <c r="O97" s="5">
        <f t="shared" si="7"/>
        <v>1.266666667</v>
      </c>
      <c r="P97" s="5" t="str">
        <f t="shared" si="15"/>
        <v>Good</v>
      </c>
      <c r="Q97" s="6"/>
    </row>
    <row r="98" ht="22.5" customHeight="1">
      <c r="A98" s="11" t="s">
        <v>128</v>
      </c>
      <c r="B98" s="4">
        <v>1.2</v>
      </c>
      <c r="C98" s="5">
        <f t="shared" si="21"/>
        <v>0.24</v>
      </c>
      <c r="D98" s="5" t="str">
        <f t="shared" si="11"/>
        <v>Low</v>
      </c>
      <c r="E98" s="11" t="s">
        <v>114</v>
      </c>
      <c r="F98" s="4">
        <v>0.174</v>
      </c>
      <c r="G98" s="5">
        <f t="shared" si="3"/>
        <v>0.087</v>
      </c>
      <c r="H98" s="5" t="str">
        <f t="shared" si="16"/>
        <v>Low</v>
      </c>
      <c r="I98" s="25" t="s">
        <v>111</v>
      </c>
      <c r="J98" s="4">
        <v>5.4</v>
      </c>
      <c r="K98" s="5">
        <f t="shared" si="5"/>
        <v>0.9</v>
      </c>
      <c r="L98" s="5" t="str">
        <f t="shared" si="17"/>
        <v>Below avg</v>
      </c>
      <c r="M98" s="23" t="s">
        <v>127</v>
      </c>
      <c r="N98" s="4">
        <v>0.691</v>
      </c>
      <c r="O98" s="5">
        <f t="shared" si="7"/>
        <v>0.1151666667</v>
      </c>
      <c r="P98" s="5" t="str">
        <f t="shared" si="15"/>
        <v>Low</v>
      </c>
      <c r="Q98" s="6"/>
    </row>
    <row r="99" ht="22.5" customHeight="1">
      <c r="A99" s="11" t="s">
        <v>124</v>
      </c>
      <c r="B99" s="4">
        <v>1.4</v>
      </c>
      <c r="C99" s="5">
        <f t="shared" si="21"/>
        <v>0.28</v>
      </c>
      <c r="D99" s="5" t="str">
        <f t="shared" si="11"/>
        <v>Low</v>
      </c>
      <c r="E99" s="25" t="s">
        <v>111</v>
      </c>
      <c r="F99" s="4">
        <v>1.4</v>
      </c>
      <c r="G99" s="5">
        <f t="shared" si="3"/>
        <v>0.7</v>
      </c>
      <c r="H99" s="5" t="str">
        <f t="shared" si="16"/>
        <v>Low</v>
      </c>
      <c r="I99" s="11" t="s">
        <v>113</v>
      </c>
      <c r="J99" s="4">
        <v>0.517</v>
      </c>
      <c r="K99" s="5">
        <f t="shared" si="5"/>
        <v>0.08616666667</v>
      </c>
      <c r="L99" s="5" t="str">
        <f t="shared" si="17"/>
        <v>Low</v>
      </c>
      <c r="M99" s="25" t="s">
        <v>129</v>
      </c>
      <c r="N99" s="4">
        <v>0.0</v>
      </c>
      <c r="O99" s="5">
        <f t="shared" si="7"/>
        <v>0</v>
      </c>
      <c r="P99" s="5" t="str">
        <f t="shared" si="15"/>
        <v>Low</v>
      </c>
      <c r="Q99" s="6"/>
    </row>
    <row r="100" ht="22.5" customHeight="1">
      <c r="A100" s="11" t="s">
        <v>97</v>
      </c>
      <c r="B100" s="4">
        <v>1.2</v>
      </c>
      <c r="C100" s="5">
        <f t="shared" si="21"/>
        <v>0.24</v>
      </c>
      <c r="D100" s="5" t="str">
        <f t="shared" si="11"/>
        <v>Low</v>
      </c>
      <c r="E100" s="11" t="s">
        <v>130</v>
      </c>
      <c r="F100" s="4">
        <v>1.0</v>
      </c>
      <c r="G100" s="5">
        <f t="shared" ref="G100:G101" si="22">F100/1</f>
        <v>1</v>
      </c>
      <c r="H100" s="5" t="str">
        <f t="shared" si="16"/>
        <v>Average</v>
      </c>
      <c r="I100" s="11" t="s">
        <v>115</v>
      </c>
      <c r="J100" s="4">
        <v>11.6</v>
      </c>
      <c r="K100" s="5">
        <f t="shared" si="5"/>
        <v>1.933333333</v>
      </c>
      <c r="L100" s="5" t="str">
        <f t="shared" si="17"/>
        <v>Top core</v>
      </c>
      <c r="M100" s="26" t="s">
        <v>131</v>
      </c>
      <c r="N100" s="4">
        <v>0.0</v>
      </c>
      <c r="O100" s="5">
        <f t="shared" si="7"/>
        <v>0</v>
      </c>
      <c r="P100" s="5" t="str">
        <f t="shared" si="15"/>
        <v>Low</v>
      </c>
      <c r="Q100" s="6"/>
    </row>
    <row r="101" ht="22.5" customHeight="1">
      <c r="A101" s="11" t="s">
        <v>81</v>
      </c>
      <c r="B101" s="4">
        <v>0.32</v>
      </c>
      <c r="C101" s="5">
        <f>B101/3</f>
        <v>0.1066666667</v>
      </c>
      <c r="D101" s="5" t="str">
        <f t="shared" si="11"/>
        <v>Low</v>
      </c>
      <c r="E101" s="11" t="s">
        <v>115</v>
      </c>
      <c r="F101" s="4">
        <v>0.136</v>
      </c>
      <c r="G101" s="5">
        <f t="shared" si="22"/>
        <v>0.136</v>
      </c>
      <c r="H101" s="5" t="str">
        <f t="shared" si="16"/>
        <v>Low</v>
      </c>
      <c r="I101" s="11" t="s">
        <v>46</v>
      </c>
      <c r="J101" s="4">
        <v>9.3</v>
      </c>
      <c r="K101" s="5">
        <f t="shared" si="5"/>
        <v>1.55</v>
      </c>
      <c r="L101" s="5" t="str">
        <f t="shared" si="17"/>
        <v>Top core</v>
      </c>
      <c r="M101" s="26" t="s">
        <v>132</v>
      </c>
      <c r="N101" s="4">
        <v>0.404</v>
      </c>
      <c r="O101" s="5">
        <f>N101/2</f>
        <v>0.202</v>
      </c>
      <c r="P101" s="5" t="str">
        <f t="shared" si="15"/>
        <v>Low</v>
      </c>
      <c r="Q101" s="6"/>
    </row>
    <row r="102" ht="22.5" customHeight="1">
      <c r="A102" s="11" t="s">
        <v>133</v>
      </c>
      <c r="B102" s="4">
        <v>0.0</v>
      </c>
      <c r="C102" s="5">
        <f t="shared" ref="C102:C103" si="23">B102/1</f>
        <v>0</v>
      </c>
      <c r="D102" s="5" t="str">
        <f t="shared" si="11"/>
        <v>Low</v>
      </c>
      <c r="E102" s="11" t="s">
        <v>46</v>
      </c>
      <c r="F102" s="4">
        <v>3.4</v>
      </c>
      <c r="G102" s="5">
        <f t="shared" ref="G102:G103" si="24">F102/2</f>
        <v>1.7</v>
      </c>
      <c r="H102" s="5" t="str">
        <f t="shared" si="16"/>
        <v>Top core</v>
      </c>
      <c r="J102" s="4" t="s">
        <v>134</v>
      </c>
      <c r="K102" s="5">
        <f>AVERAGE(K2:K101)</f>
        <v>1.240616667</v>
      </c>
      <c r="L102" s="5"/>
      <c r="N102" s="4" t="s">
        <v>134</v>
      </c>
      <c r="O102" s="5">
        <f>AVERAGE(O2:O101)</f>
        <v>1.484115</v>
      </c>
      <c r="Q102" s="6"/>
    </row>
    <row r="103" ht="22.5" customHeight="1">
      <c r="B103" s="4">
        <v>0.455</v>
      </c>
      <c r="C103" s="5">
        <f t="shared" si="23"/>
        <v>0.455</v>
      </c>
      <c r="D103" s="5" t="str">
        <f t="shared" si="11"/>
        <v>Low</v>
      </c>
      <c r="F103" s="4">
        <v>2.7</v>
      </c>
      <c r="G103" s="5">
        <f t="shared" si="24"/>
        <v>1.35</v>
      </c>
      <c r="H103" s="5" t="str">
        <f t="shared" si="16"/>
        <v>Top core</v>
      </c>
      <c r="J103" s="27"/>
      <c r="K103" s="27"/>
      <c r="L103" s="5"/>
    </row>
    <row r="104" ht="22.5" customHeight="1">
      <c r="A104" s="11"/>
      <c r="B104" s="4" t="s">
        <v>134</v>
      </c>
      <c r="C104" s="5">
        <f>AVERAGE(C2:C103)</f>
        <v>1.01879085</v>
      </c>
      <c r="D104" s="27"/>
      <c r="E104" s="11"/>
      <c r="F104" s="4" t="s">
        <v>134</v>
      </c>
      <c r="G104" s="5">
        <f>AVERAGE(G2:G103)</f>
        <v>1.230583333</v>
      </c>
      <c r="H104" s="5"/>
      <c r="I104" s="27"/>
      <c r="J104" s="27"/>
      <c r="K104" s="27"/>
      <c r="L104" s="27"/>
      <c r="M104" s="28"/>
      <c r="O104" s="28"/>
      <c r="P104" s="28"/>
      <c r="Q104" s="28"/>
    </row>
    <row r="105" ht="22.5" customHeight="1">
      <c r="B105" s="29"/>
      <c r="I105" s="27"/>
      <c r="J105" s="27"/>
      <c r="K105" s="27"/>
      <c r="L105" s="27"/>
      <c r="M105" s="28"/>
      <c r="N105" s="28"/>
      <c r="O105" s="28"/>
      <c r="P105" s="28"/>
      <c r="Q105" s="28"/>
    </row>
    <row r="106" ht="22.5" customHeight="1">
      <c r="B106" s="29"/>
      <c r="E106" s="11"/>
      <c r="H106" s="5"/>
      <c r="I106" s="27"/>
      <c r="J106" s="27"/>
      <c r="K106" s="27"/>
      <c r="L106" s="27"/>
      <c r="M106" s="28"/>
      <c r="N106" s="28"/>
      <c r="O106" s="28"/>
      <c r="P106" s="28"/>
      <c r="Q106" s="28"/>
    </row>
  </sheetData>
  <conditionalFormatting sqref="D1:D106 H1:H106 L1:L103 P1:P103">
    <cfRule type="cellIs" dxfId="5" priority="1" operator="equal">
      <formula>"Top core"</formula>
    </cfRule>
  </conditionalFormatting>
  <conditionalFormatting sqref="D1:D106 H1:H106 L1:L103 P1:P103">
    <cfRule type="cellIs" dxfId="6" priority="2" operator="equal">
      <formula>"average"</formula>
    </cfRule>
  </conditionalFormatting>
  <conditionalFormatting sqref="D1:D106 H1:H106 L1:L103 P1:P103">
    <cfRule type="cellIs" dxfId="7" priority="3" operator="equal">
      <formula>"good"</formula>
    </cfRule>
  </conditionalFormatting>
  <conditionalFormatting sqref="D1:D106 H1:H106 L1:L103 P1:P103">
    <cfRule type="cellIs" dxfId="8" priority="4" operator="equal">
      <formula>"below avg"</formula>
    </cfRule>
  </conditionalFormatting>
  <conditionalFormatting sqref="D1:D106 H1:H106 L1:L103 P1:P103">
    <cfRule type="cellIs" dxfId="9" priority="5" operator="equal">
      <formula>"low"</formula>
    </cfRule>
  </conditionalFormatting>
  <dataValidations>
    <dataValidation type="custom" allowBlank="1" showDropDown="1" sqref="B2:B106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3.88"/>
    <col customWidth="1" min="3" max="3" width="22.63"/>
    <col customWidth="1" min="4" max="4" width="18.38"/>
    <col customWidth="1" min="5" max="8" width="22.63"/>
    <col customWidth="1" min="9" max="9" width="15.13"/>
    <col customWidth="1" min="10" max="10" width="19.38"/>
    <col customWidth="1" min="11" max="11" width="15.25"/>
  </cols>
  <sheetData>
    <row r="1" ht="22.5" customHeight="1">
      <c r="A1" s="1" t="s">
        <v>0</v>
      </c>
      <c r="B1" s="1" t="s">
        <v>135</v>
      </c>
      <c r="C1" s="30" t="s">
        <v>136</v>
      </c>
      <c r="D1" s="1" t="s">
        <v>3</v>
      </c>
      <c r="E1" s="1" t="s">
        <v>4</v>
      </c>
      <c r="F1" s="1" t="s">
        <v>137</v>
      </c>
      <c r="G1" s="30" t="s">
        <v>138</v>
      </c>
      <c r="H1" s="1" t="s">
        <v>7</v>
      </c>
      <c r="I1" s="1" t="s">
        <v>8</v>
      </c>
      <c r="J1" s="1" t="s">
        <v>139</v>
      </c>
      <c r="K1" s="30" t="s">
        <v>140</v>
      </c>
      <c r="L1" s="1" t="s">
        <v>11</v>
      </c>
      <c r="M1" s="2" t="s">
        <v>141</v>
      </c>
    </row>
    <row r="2" ht="22.5" customHeight="1">
      <c r="A2" s="3" t="s">
        <v>17</v>
      </c>
      <c r="B2" s="31">
        <v>59480.0</v>
      </c>
      <c r="C2" s="32">
        <f t="shared" ref="C2:C57" si="1">B2/5</f>
        <v>11896</v>
      </c>
      <c r="D2" s="5" t="str">
        <f t="shared" ref="D2:D57" si="2">IF(C2&gt;11000,"Top core",
 IF(C2&gt;=9000,"Good",
 IF(C2&gt;=8000,"Average",
 IF(C2&gt;=6000,"Below avg","Low"))))</f>
        <v>Top core</v>
      </c>
      <c r="E2" s="3" t="s">
        <v>17</v>
      </c>
      <c r="F2" s="31">
        <v>68560.0</v>
      </c>
      <c r="G2" s="32">
        <f t="shared" ref="G2:G95" si="3">F2/7</f>
        <v>9794.285714</v>
      </c>
      <c r="H2" s="5" t="str">
        <f t="shared" ref="H2:H57" si="4">IF(G2&gt;11000,"Top core",
 IF(G2&gt;=9000,"Good",
 IF(G2&gt;=8000,"Average",
 IF(G2&gt;=6000,"Below avg","Low"))))</f>
        <v>Good</v>
      </c>
      <c r="I2" s="3" t="s">
        <v>17</v>
      </c>
      <c r="J2" s="31">
        <v>67780.0</v>
      </c>
      <c r="K2" s="32">
        <f t="shared" ref="K2:K79" si="5">J2/7</f>
        <v>9682.857143</v>
      </c>
      <c r="L2" s="5" t="str">
        <f t="shared" ref="L2:L101" si="6">IF(K2&gt;11000,"Top core",
 IF(K2&gt;=9000,"Good",
 IF(K2&gt;=8000,"Average",
 IF(K2&gt;=6000,"Below avg","Low"))))</f>
        <v>Good</v>
      </c>
      <c r="M2" s="6"/>
    </row>
    <row r="3" ht="22.5" customHeight="1">
      <c r="A3" s="7" t="s">
        <v>18</v>
      </c>
      <c r="B3" s="31">
        <v>43600.0</v>
      </c>
      <c r="C3" s="32">
        <f t="shared" si="1"/>
        <v>8720</v>
      </c>
      <c r="D3" s="5" t="str">
        <f t="shared" si="2"/>
        <v>Average</v>
      </c>
      <c r="E3" s="7" t="s">
        <v>18</v>
      </c>
      <c r="F3" s="31">
        <v>64060.0</v>
      </c>
      <c r="G3" s="32">
        <f t="shared" si="3"/>
        <v>9151.428571</v>
      </c>
      <c r="H3" s="5" t="str">
        <f t="shared" si="4"/>
        <v>Good</v>
      </c>
      <c r="I3" s="7" t="s">
        <v>18</v>
      </c>
      <c r="J3" s="31">
        <v>75520.0</v>
      </c>
      <c r="K3" s="32">
        <f t="shared" si="5"/>
        <v>10788.57143</v>
      </c>
      <c r="L3" s="5" t="str">
        <f t="shared" si="6"/>
        <v>Good</v>
      </c>
      <c r="M3" s="6"/>
    </row>
    <row r="4" ht="22.5" customHeight="1">
      <c r="A4" s="7" t="s">
        <v>19</v>
      </c>
      <c r="B4" s="31">
        <v>42180.0</v>
      </c>
      <c r="C4" s="32">
        <f t="shared" si="1"/>
        <v>8436</v>
      </c>
      <c r="D4" s="5" t="str">
        <f t="shared" si="2"/>
        <v>Average</v>
      </c>
      <c r="E4" s="7" t="s">
        <v>20</v>
      </c>
      <c r="F4" s="31">
        <v>47320.0</v>
      </c>
      <c r="G4" s="32">
        <f t="shared" si="3"/>
        <v>6760</v>
      </c>
      <c r="H4" s="5" t="str">
        <f t="shared" si="4"/>
        <v>Below avg</v>
      </c>
      <c r="I4" s="7" t="s">
        <v>20</v>
      </c>
      <c r="J4" s="31">
        <v>29420.0</v>
      </c>
      <c r="K4" s="32">
        <f t="shared" si="5"/>
        <v>4202.857143</v>
      </c>
      <c r="L4" s="5" t="str">
        <f t="shared" si="6"/>
        <v>Low</v>
      </c>
      <c r="M4" s="6"/>
    </row>
    <row r="5" ht="22.5" customHeight="1">
      <c r="A5" s="7" t="s">
        <v>21</v>
      </c>
      <c r="B5" s="31">
        <v>40670.0</v>
      </c>
      <c r="C5" s="32">
        <f t="shared" si="1"/>
        <v>8134</v>
      </c>
      <c r="D5" s="5" t="str">
        <f t="shared" si="2"/>
        <v>Average</v>
      </c>
      <c r="E5" s="7" t="s">
        <v>19</v>
      </c>
      <c r="F5" s="31">
        <v>43280.0</v>
      </c>
      <c r="G5" s="32">
        <f t="shared" si="3"/>
        <v>6182.857143</v>
      </c>
      <c r="H5" s="5" t="str">
        <f t="shared" si="4"/>
        <v>Below avg</v>
      </c>
      <c r="I5" s="7" t="s">
        <v>19</v>
      </c>
      <c r="J5" s="31">
        <v>92080.0</v>
      </c>
      <c r="K5" s="32">
        <f t="shared" si="5"/>
        <v>13154.28571</v>
      </c>
      <c r="L5" s="5" t="str">
        <f t="shared" si="6"/>
        <v>Top core</v>
      </c>
      <c r="M5" s="6"/>
    </row>
    <row r="6" ht="22.5" customHeight="1">
      <c r="A6" s="7" t="s">
        <v>22</v>
      </c>
      <c r="B6" s="31">
        <v>36710.0</v>
      </c>
      <c r="C6" s="32">
        <f t="shared" si="1"/>
        <v>7342</v>
      </c>
      <c r="D6" s="5" t="str">
        <f t="shared" si="2"/>
        <v>Below avg</v>
      </c>
      <c r="E6" s="7" t="s">
        <v>21</v>
      </c>
      <c r="F6" s="31">
        <v>67040.0</v>
      </c>
      <c r="G6" s="32">
        <f t="shared" si="3"/>
        <v>9577.142857</v>
      </c>
      <c r="H6" s="5" t="str">
        <f t="shared" si="4"/>
        <v>Good</v>
      </c>
      <c r="I6" s="7" t="s">
        <v>142</v>
      </c>
      <c r="J6" s="31">
        <v>55000.0</v>
      </c>
      <c r="K6" s="32">
        <f t="shared" si="5"/>
        <v>7857.142857</v>
      </c>
      <c r="L6" s="5" t="str">
        <f t="shared" si="6"/>
        <v>Below avg</v>
      </c>
      <c r="M6" s="6"/>
    </row>
    <row r="7" ht="22.5" customHeight="1">
      <c r="A7" s="7" t="s">
        <v>23</v>
      </c>
      <c r="B7" s="31">
        <v>63740.0</v>
      </c>
      <c r="C7" s="32">
        <f t="shared" si="1"/>
        <v>12748</v>
      </c>
      <c r="D7" s="5" t="str">
        <f t="shared" si="2"/>
        <v>Top core</v>
      </c>
      <c r="E7" s="7" t="s">
        <v>22</v>
      </c>
      <c r="F7" s="31">
        <v>12330.0</v>
      </c>
      <c r="G7" s="32">
        <f t="shared" si="3"/>
        <v>1761.428571</v>
      </c>
      <c r="H7" s="5" t="str">
        <f t="shared" si="4"/>
        <v>Low</v>
      </c>
      <c r="I7" s="7" t="s">
        <v>22</v>
      </c>
      <c r="J7" s="31">
        <v>70.0</v>
      </c>
      <c r="K7" s="32">
        <f t="shared" si="5"/>
        <v>10</v>
      </c>
      <c r="L7" s="5" t="str">
        <f t="shared" si="6"/>
        <v>Low</v>
      </c>
      <c r="M7" s="6"/>
    </row>
    <row r="8" ht="22.5" customHeight="1">
      <c r="A8" s="7" t="s">
        <v>24</v>
      </c>
      <c r="B8" s="31">
        <v>44780.0</v>
      </c>
      <c r="C8" s="32">
        <f t="shared" si="1"/>
        <v>8956</v>
      </c>
      <c r="D8" s="5" t="str">
        <f t="shared" si="2"/>
        <v>Average</v>
      </c>
      <c r="E8" s="7" t="s">
        <v>23</v>
      </c>
      <c r="F8" s="31">
        <v>93110.0</v>
      </c>
      <c r="G8" s="32">
        <f t="shared" si="3"/>
        <v>13301.42857</v>
      </c>
      <c r="H8" s="5" t="str">
        <f t="shared" si="4"/>
        <v>Top core</v>
      </c>
      <c r="I8" s="7" t="s">
        <v>23</v>
      </c>
      <c r="J8" s="31">
        <v>93400.0</v>
      </c>
      <c r="K8" s="32">
        <f t="shared" si="5"/>
        <v>13342.85714</v>
      </c>
      <c r="L8" s="5" t="str">
        <f t="shared" si="6"/>
        <v>Top core</v>
      </c>
      <c r="M8" s="6"/>
    </row>
    <row r="9" ht="22.5" customHeight="1">
      <c r="A9" s="7" t="s">
        <v>25</v>
      </c>
      <c r="B9" s="31">
        <v>68660.0</v>
      </c>
      <c r="C9" s="32">
        <f t="shared" si="1"/>
        <v>13732</v>
      </c>
      <c r="D9" s="5" t="str">
        <f t="shared" si="2"/>
        <v>Top core</v>
      </c>
      <c r="E9" s="7" t="s">
        <v>24</v>
      </c>
      <c r="F9" s="31">
        <v>46690.0</v>
      </c>
      <c r="G9" s="32">
        <f t="shared" si="3"/>
        <v>6670</v>
      </c>
      <c r="H9" s="5" t="str">
        <f t="shared" si="4"/>
        <v>Below avg</v>
      </c>
      <c r="I9" s="7" t="s">
        <v>24</v>
      </c>
      <c r="J9" s="31">
        <v>37270.0</v>
      </c>
      <c r="K9" s="32">
        <f t="shared" si="5"/>
        <v>5324.285714</v>
      </c>
      <c r="L9" s="5" t="str">
        <f t="shared" si="6"/>
        <v>Low</v>
      </c>
      <c r="M9" s="6"/>
    </row>
    <row r="10" ht="22.5" customHeight="1">
      <c r="A10" s="7" t="s">
        <v>26</v>
      </c>
      <c r="B10" s="31">
        <v>83120.0</v>
      </c>
      <c r="C10" s="32">
        <f t="shared" si="1"/>
        <v>16624</v>
      </c>
      <c r="D10" s="5" t="str">
        <f t="shared" si="2"/>
        <v>Top core</v>
      </c>
      <c r="E10" s="7" t="s">
        <v>25</v>
      </c>
      <c r="F10" s="31">
        <v>86860.0</v>
      </c>
      <c r="G10" s="32">
        <f t="shared" si="3"/>
        <v>12408.57143</v>
      </c>
      <c r="H10" s="5" t="str">
        <f t="shared" si="4"/>
        <v>Top core</v>
      </c>
      <c r="I10" s="7" t="s">
        <v>25</v>
      </c>
      <c r="J10" s="31">
        <v>81700.0</v>
      </c>
      <c r="K10" s="32">
        <f t="shared" si="5"/>
        <v>11671.42857</v>
      </c>
      <c r="L10" s="5" t="str">
        <f t="shared" si="6"/>
        <v>Top core</v>
      </c>
      <c r="M10" s="6"/>
    </row>
    <row r="11" ht="22.5" customHeight="1">
      <c r="A11" s="7" t="s">
        <v>27</v>
      </c>
      <c r="B11" s="31">
        <v>74430.0</v>
      </c>
      <c r="C11" s="32">
        <f t="shared" si="1"/>
        <v>14886</v>
      </c>
      <c r="D11" s="5" t="str">
        <f t="shared" si="2"/>
        <v>Top core</v>
      </c>
      <c r="E11" s="7" t="s">
        <v>26</v>
      </c>
      <c r="F11" s="31">
        <v>116020.0</v>
      </c>
      <c r="G11" s="32">
        <f t="shared" si="3"/>
        <v>16574.28571</v>
      </c>
      <c r="H11" s="5" t="str">
        <f t="shared" si="4"/>
        <v>Top core</v>
      </c>
      <c r="I11" s="7" t="s">
        <v>26</v>
      </c>
      <c r="J11" s="31">
        <v>123880.0</v>
      </c>
      <c r="K11" s="32">
        <f t="shared" si="5"/>
        <v>17697.14286</v>
      </c>
      <c r="L11" s="5" t="str">
        <f t="shared" si="6"/>
        <v>Top core</v>
      </c>
      <c r="M11" s="6"/>
    </row>
    <row r="12" ht="22.5" customHeight="1">
      <c r="A12" s="8" t="s">
        <v>28</v>
      </c>
      <c r="B12" s="31">
        <v>22950.0</v>
      </c>
      <c r="C12" s="32">
        <f t="shared" si="1"/>
        <v>4590</v>
      </c>
      <c r="D12" s="5" t="str">
        <f t="shared" si="2"/>
        <v>Low</v>
      </c>
      <c r="E12" s="7" t="s">
        <v>27</v>
      </c>
      <c r="F12" s="31">
        <v>75280.0</v>
      </c>
      <c r="G12" s="32">
        <f t="shared" si="3"/>
        <v>10754.28571</v>
      </c>
      <c r="H12" s="5" t="str">
        <f t="shared" si="4"/>
        <v>Good</v>
      </c>
      <c r="I12" s="7" t="s">
        <v>29</v>
      </c>
      <c r="J12" s="31">
        <v>83590.0</v>
      </c>
      <c r="K12" s="32">
        <f t="shared" si="5"/>
        <v>11941.42857</v>
      </c>
      <c r="L12" s="5" t="str">
        <f t="shared" si="6"/>
        <v>Top core</v>
      </c>
      <c r="M12" s="6"/>
    </row>
    <row r="13" ht="22.5" customHeight="1">
      <c r="A13" s="8" t="s">
        <v>30</v>
      </c>
      <c r="B13" s="31">
        <v>68360.0</v>
      </c>
      <c r="C13" s="32">
        <f t="shared" si="1"/>
        <v>13672</v>
      </c>
      <c r="D13" s="5" t="str">
        <f t="shared" si="2"/>
        <v>Top core</v>
      </c>
      <c r="E13" s="7" t="s">
        <v>29</v>
      </c>
      <c r="F13" s="31">
        <v>78140.0</v>
      </c>
      <c r="G13" s="32">
        <f t="shared" si="3"/>
        <v>11162.85714</v>
      </c>
      <c r="H13" s="5" t="str">
        <f t="shared" si="4"/>
        <v>Top core</v>
      </c>
      <c r="I13" s="8" t="s">
        <v>27</v>
      </c>
      <c r="J13" s="31">
        <v>61570.0</v>
      </c>
      <c r="K13" s="32">
        <f t="shared" si="5"/>
        <v>8795.714286</v>
      </c>
      <c r="L13" s="5" t="str">
        <f t="shared" si="6"/>
        <v>Average</v>
      </c>
      <c r="M13" s="9" t="s">
        <v>143</v>
      </c>
    </row>
    <row r="14" ht="22.5" customHeight="1">
      <c r="A14" s="8" t="s">
        <v>33</v>
      </c>
      <c r="B14" s="31">
        <v>67400.0</v>
      </c>
      <c r="C14" s="32">
        <f t="shared" si="1"/>
        <v>13480</v>
      </c>
      <c r="D14" s="5" t="str">
        <f t="shared" si="2"/>
        <v>Top core</v>
      </c>
      <c r="E14" s="8" t="s">
        <v>31</v>
      </c>
      <c r="F14" s="31">
        <v>105810.0</v>
      </c>
      <c r="G14" s="32">
        <f t="shared" si="3"/>
        <v>15115.71429</v>
      </c>
      <c r="H14" s="5" t="str">
        <f t="shared" si="4"/>
        <v>Top core</v>
      </c>
      <c r="I14" s="8" t="s">
        <v>31</v>
      </c>
      <c r="J14" s="31">
        <v>108100.0</v>
      </c>
      <c r="K14" s="32">
        <f t="shared" si="5"/>
        <v>15442.85714</v>
      </c>
      <c r="L14" s="5" t="str">
        <f t="shared" si="6"/>
        <v>Top core</v>
      </c>
      <c r="M14" s="6"/>
    </row>
    <row r="15" ht="22.5" customHeight="1">
      <c r="A15" s="8" t="s">
        <v>34</v>
      </c>
      <c r="B15" s="31">
        <v>47280.0</v>
      </c>
      <c r="C15" s="32">
        <f t="shared" si="1"/>
        <v>9456</v>
      </c>
      <c r="D15" s="5" t="str">
        <f t="shared" si="2"/>
        <v>Good</v>
      </c>
      <c r="E15" s="8" t="s">
        <v>28</v>
      </c>
      <c r="F15" s="31">
        <v>38480.0</v>
      </c>
      <c r="G15" s="32">
        <f t="shared" si="3"/>
        <v>5497.142857</v>
      </c>
      <c r="H15" s="5" t="str">
        <f t="shared" si="4"/>
        <v>Low</v>
      </c>
      <c r="I15" s="8" t="s">
        <v>28</v>
      </c>
      <c r="J15" s="31">
        <v>17780.0</v>
      </c>
      <c r="K15" s="32">
        <f t="shared" si="5"/>
        <v>2540</v>
      </c>
      <c r="L15" s="5" t="str">
        <f t="shared" si="6"/>
        <v>Low</v>
      </c>
      <c r="M15" s="6"/>
    </row>
    <row r="16" ht="22.5" customHeight="1">
      <c r="A16" s="8" t="s">
        <v>35</v>
      </c>
      <c r="B16" s="31">
        <v>54620.0</v>
      </c>
      <c r="C16" s="32">
        <f t="shared" si="1"/>
        <v>10924</v>
      </c>
      <c r="D16" s="5" t="str">
        <f t="shared" si="2"/>
        <v>Good</v>
      </c>
      <c r="E16" s="8" t="s">
        <v>30</v>
      </c>
      <c r="F16" s="31">
        <v>95450.0</v>
      </c>
      <c r="G16" s="32">
        <f t="shared" si="3"/>
        <v>13635.71429</v>
      </c>
      <c r="H16" s="5" t="str">
        <f t="shared" si="4"/>
        <v>Top core</v>
      </c>
      <c r="I16" s="8" t="s">
        <v>30</v>
      </c>
      <c r="J16" s="31">
        <v>87770.0</v>
      </c>
      <c r="K16" s="32">
        <f t="shared" si="5"/>
        <v>12538.57143</v>
      </c>
      <c r="L16" s="5" t="str">
        <f t="shared" si="6"/>
        <v>Top core</v>
      </c>
      <c r="M16" s="6"/>
    </row>
    <row r="17" ht="22.5" customHeight="1">
      <c r="A17" s="8" t="s">
        <v>36</v>
      </c>
      <c r="B17" s="31">
        <v>45870.0</v>
      </c>
      <c r="C17" s="32">
        <f t="shared" si="1"/>
        <v>9174</v>
      </c>
      <c r="D17" s="5" t="str">
        <f t="shared" si="2"/>
        <v>Good</v>
      </c>
      <c r="E17" s="8" t="s">
        <v>33</v>
      </c>
      <c r="F17" s="31">
        <v>96290.0</v>
      </c>
      <c r="G17" s="32">
        <f t="shared" si="3"/>
        <v>13755.71429</v>
      </c>
      <c r="H17" s="5" t="str">
        <f t="shared" si="4"/>
        <v>Top core</v>
      </c>
      <c r="I17" s="8" t="s">
        <v>33</v>
      </c>
      <c r="J17" s="31">
        <v>95500.0</v>
      </c>
      <c r="K17" s="32">
        <f t="shared" si="5"/>
        <v>13642.85714</v>
      </c>
      <c r="L17" s="5" t="str">
        <f t="shared" si="6"/>
        <v>Top core</v>
      </c>
      <c r="M17" s="6"/>
    </row>
    <row r="18" ht="22.5" customHeight="1">
      <c r="A18" s="8" t="s">
        <v>37</v>
      </c>
      <c r="B18" s="31">
        <v>61340.0</v>
      </c>
      <c r="C18" s="32">
        <f t="shared" si="1"/>
        <v>12268</v>
      </c>
      <c r="D18" s="5" t="str">
        <f t="shared" si="2"/>
        <v>Top core</v>
      </c>
      <c r="E18" s="8" t="s">
        <v>34</v>
      </c>
      <c r="F18" s="31">
        <v>70240.0</v>
      </c>
      <c r="G18" s="32">
        <f t="shared" si="3"/>
        <v>10034.28571</v>
      </c>
      <c r="H18" s="5" t="str">
        <f t="shared" si="4"/>
        <v>Good</v>
      </c>
      <c r="I18" s="8" t="s">
        <v>34</v>
      </c>
      <c r="J18" s="31">
        <v>64450.0</v>
      </c>
      <c r="K18" s="32">
        <f t="shared" si="5"/>
        <v>9207.142857</v>
      </c>
      <c r="L18" s="5" t="str">
        <f t="shared" si="6"/>
        <v>Good</v>
      </c>
      <c r="M18" s="6"/>
    </row>
    <row r="19" ht="22.5" customHeight="1">
      <c r="A19" s="8" t="s">
        <v>38</v>
      </c>
      <c r="B19" s="31">
        <v>65420.0</v>
      </c>
      <c r="C19" s="32">
        <f t="shared" si="1"/>
        <v>13084</v>
      </c>
      <c r="D19" s="5" t="str">
        <f t="shared" si="2"/>
        <v>Top core</v>
      </c>
      <c r="E19" s="8" t="s">
        <v>35</v>
      </c>
      <c r="F19" s="31">
        <v>63830.0</v>
      </c>
      <c r="G19" s="32">
        <f t="shared" si="3"/>
        <v>9118.571429</v>
      </c>
      <c r="H19" s="5" t="str">
        <f t="shared" si="4"/>
        <v>Good</v>
      </c>
      <c r="I19" s="8" t="s">
        <v>35</v>
      </c>
      <c r="J19" s="31">
        <v>67960.0</v>
      </c>
      <c r="K19" s="32">
        <f t="shared" si="5"/>
        <v>9708.571429</v>
      </c>
      <c r="L19" s="5" t="str">
        <f t="shared" si="6"/>
        <v>Good</v>
      </c>
      <c r="M19" s="6"/>
    </row>
    <row r="20" ht="22.5" customHeight="1">
      <c r="A20" s="8" t="s">
        <v>39</v>
      </c>
      <c r="B20" s="31">
        <v>73860.0</v>
      </c>
      <c r="C20" s="32">
        <f t="shared" si="1"/>
        <v>14772</v>
      </c>
      <c r="D20" s="5" t="str">
        <f t="shared" si="2"/>
        <v>Top core</v>
      </c>
      <c r="E20" s="8" t="s">
        <v>36</v>
      </c>
      <c r="F20" s="31">
        <v>81940.0</v>
      </c>
      <c r="G20" s="32">
        <f t="shared" si="3"/>
        <v>11705.71429</v>
      </c>
      <c r="H20" s="5" t="str">
        <f t="shared" si="4"/>
        <v>Top core</v>
      </c>
      <c r="I20" s="8" t="s">
        <v>36</v>
      </c>
      <c r="J20" s="31">
        <v>81940.0</v>
      </c>
      <c r="K20" s="32">
        <f t="shared" si="5"/>
        <v>11705.71429</v>
      </c>
      <c r="L20" s="5" t="str">
        <f t="shared" si="6"/>
        <v>Top core</v>
      </c>
      <c r="M20" s="6"/>
    </row>
    <row r="21" ht="22.5" customHeight="1">
      <c r="A21" s="8" t="s">
        <v>40</v>
      </c>
      <c r="B21" s="31">
        <v>71000.0</v>
      </c>
      <c r="C21" s="32">
        <f t="shared" si="1"/>
        <v>14200</v>
      </c>
      <c r="D21" s="5" t="str">
        <f t="shared" si="2"/>
        <v>Top core</v>
      </c>
      <c r="E21" s="8" t="s">
        <v>37</v>
      </c>
      <c r="F21" s="31">
        <v>80310.0</v>
      </c>
      <c r="G21" s="32">
        <f t="shared" si="3"/>
        <v>11472.85714</v>
      </c>
      <c r="H21" s="5" t="str">
        <f t="shared" si="4"/>
        <v>Top core</v>
      </c>
      <c r="I21" s="8" t="s">
        <v>37</v>
      </c>
      <c r="J21" s="31">
        <v>89380.0</v>
      </c>
      <c r="K21" s="32">
        <f t="shared" si="5"/>
        <v>12768.57143</v>
      </c>
      <c r="L21" s="5" t="str">
        <f t="shared" si="6"/>
        <v>Top core</v>
      </c>
      <c r="M21" s="6"/>
    </row>
    <row r="22" ht="22.5" customHeight="1">
      <c r="A22" s="8" t="s">
        <v>41</v>
      </c>
      <c r="B22" s="31">
        <v>54550.0</v>
      </c>
      <c r="C22" s="32">
        <f t="shared" si="1"/>
        <v>10910</v>
      </c>
      <c r="D22" s="5" t="str">
        <f t="shared" si="2"/>
        <v>Good</v>
      </c>
      <c r="E22" s="8" t="s">
        <v>38</v>
      </c>
      <c r="F22" s="31">
        <v>93730.0</v>
      </c>
      <c r="G22" s="32">
        <f t="shared" si="3"/>
        <v>13390</v>
      </c>
      <c r="H22" s="5" t="str">
        <f t="shared" si="4"/>
        <v>Top core</v>
      </c>
      <c r="I22" s="8" t="s">
        <v>38</v>
      </c>
      <c r="J22" s="31">
        <v>85540.0</v>
      </c>
      <c r="K22" s="32">
        <f t="shared" si="5"/>
        <v>12220</v>
      </c>
      <c r="L22" s="5" t="str">
        <f t="shared" si="6"/>
        <v>Top core</v>
      </c>
      <c r="M22" s="6"/>
    </row>
    <row r="23" ht="22.5" customHeight="1">
      <c r="A23" s="8" t="s">
        <v>144</v>
      </c>
      <c r="B23" s="31">
        <v>46530.0</v>
      </c>
      <c r="C23" s="32">
        <f t="shared" si="1"/>
        <v>9306</v>
      </c>
      <c r="D23" s="5" t="str">
        <f t="shared" si="2"/>
        <v>Good</v>
      </c>
      <c r="E23" s="8" t="s">
        <v>39</v>
      </c>
      <c r="F23" s="31">
        <v>90720.0</v>
      </c>
      <c r="G23" s="32">
        <f t="shared" si="3"/>
        <v>12960</v>
      </c>
      <c r="H23" s="5" t="str">
        <f t="shared" si="4"/>
        <v>Top core</v>
      </c>
      <c r="I23" s="8" t="s">
        <v>39</v>
      </c>
      <c r="J23" s="31">
        <v>91690.0</v>
      </c>
      <c r="K23" s="32">
        <f t="shared" si="5"/>
        <v>13098.57143</v>
      </c>
      <c r="L23" s="5" t="str">
        <f t="shared" si="6"/>
        <v>Top core</v>
      </c>
      <c r="M23" s="6"/>
    </row>
    <row r="24" ht="22.5" customHeight="1">
      <c r="A24" s="8" t="s">
        <v>43</v>
      </c>
      <c r="B24" s="31">
        <v>64090.0</v>
      </c>
      <c r="C24" s="32">
        <f t="shared" si="1"/>
        <v>12818</v>
      </c>
      <c r="D24" s="5" t="str">
        <f t="shared" si="2"/>
        <v>Top core</v>
      </c>
      <c r="E24" s="8" t="s">
        <v>40</v>
      </c>
      <c r="F24" s="31">
        <v>110920.0</v>
      </c>
      <c r="G24" s="32">
        <f t="shared" si="3"/>
        <v>15845.71429</v>
      </c>
      <c r="H24" s="5" t="str">
        <f t="shared" si="4"/>
        <v>Top core</v>
      </c>
      <c r="I24" s="8" t="s">
        <v>40</v>
      </c>
      <c r="J24" s="31">
        <v>120990.0</v>
      </c>
      <c r="K24" s="32">
        <f t="shared" si="5"/>
        <v>17284.28571</v>
      </c>
      <c r="L24" s="5" t="str">
        <f t="shared" si="6"/>
        <v>Top core</v>
      </c>
      <c r="M24" s="6"/>
    </row>
    <row r="25" ht="22.5" customHeight="1">
      <c r="A25" s="8" t="s">
        <v>44</v>
      </c>
      <c r="B25" s="31">
        <v>49580.0</v>
      </c>
      <c r="C25" s="32">
        <f t="shared" si="1"/>
        <v>9916</v>
      </c>
      <c r="D25" s="5" t="str">
        <f t="shared" si="2"/>
        <v>Good</v>
      </c>
      <c r="E25" s="8" t="s">
        <v>41</v>
      </c>
      <c r="F25" s="31">
        <v>59140.0</v>
      </c>
      <c r="G25" s="32">
        <f t="shared" si="3"/>
        <v>8448.571429</v>
      </c>
      <c r="H25" s="5" t="str">
        <f t="shared" si="4"/>
        <v>Average</v>
      </c>
      <c r="I25" s="8" t="s">
        <v>41</v>
      </c>
      <c r="J25" s="31">
        <v>45520.0</v>
      </c>
      <c r="K25" s="32">
        <f t="shared" si="5"/>
        <v>6502.857143</v>
      </c>
      <c r="L25" s="5" t="str">
        <f t="shared" si="6"/>
        <v>Below avg</v>
      </c>
      <c r="M25" s="6"/>
    </row>
    <row r="26" ht="22.5" customHeight="1">
      <c r="A26" s="8" t="s">
        <v>45</v>
      </c>
      <c r="B26" s="31">
        <v>55140.0</v>
      </c>
      <c r="C26" s="32">
        <f t="shared" si="1"/>
        <v>11028</v>
      </c>
      <c r="D26" s="5" t="str">
        <f t="shared" si="2"/>
        <v>Top core</v>
      </c>
      <c r="E26" s="8" t="s">
        <v>144</v>
      </c>
      <c r="F26" s="31">
        <v>65800.0</v>
      </c>
      <c r="G26" s="32">
        <f t="shared" si="3"/>
        <v>9400</v>
      </c>
      <c r="H26" s="5" t="str">
        <f t="shared" si="4"/>
        <v>Good</v>
      </c>
      <c r="I26" s="8" t="s">
        <v>144</v>
      </c>
      <c r="J26" s="31">
        <v>72220.0</v>
      </c>
      <c r="K26" s="32">
        <f t="shared" si="5"/>
        <v>10317.14286</v>
      </c>
      <c r="L26" s="5" t="str">
        <f t="shared" si="6"/>
        <v>Good</v>
      </c>
      <c r="M26" s="6"/>
    </row>
    <row r="27" ht="22.5" customHeight="1">
      <c r="A27" s="8" t="s">
        <v>46</v>
      </c>
      <c r="B27" s="31">
        <v>46330.0</v>
      </c>
      <c r="C27" s="32">
        <f t="shared" si="1"/>
        <v>9266</v>
      </c>
      <c r="D27" s="5" t="str">
        <f t="shared" si="2"/>
        <v>Good</v>
      </c>
      <c r="E27" s="8" t="s">
        <v>43</v>
      </c>
      <c r="F27" s="31">
        <v>94460.0</v>
      </c>
      <c r="G27" s="32">
        <f t="shared" si="3"/>
        <v>13494.28571</v>
      </c>
      <c r="H27" s="5" t="str">
        <f t="shared" si="4"/>
        <v>Top core</v>
      </c>
      <c r="I27" s="8" t="s">
        <v>43</v>
      </c>
      <c r="J27" s="31">
        <v>85600.0</v>
      </c>
      <c r="K27" s="32">
        <f t="shared" si="5"/>
        <v>12228.57143</v>
      </c>
      <c r="L27" s="5" t="str">
        <f t="shared" si="6"/>
        <v>Top core</v>
      </c>
      <c r="M27" s="6"/>
    </row>
    <row r="28" ht="22.5" customHeight="1">
      <c r="A28" s="8" t="s">
        <v>47</v>
      </c>
      <c r="B28" s="31">
        <v>51140.0</v>
      </c>
      <c r="C28" s="32">
        <f t="shared" si="1"/>
        <v>10228</v>
      </c>
      <c r="D28" s="5" t="str">
        <f t="shared" si="2"/>
        <v>Good</v>
      </c>
      <c r="E28" s="8" t="s">
        <v>44</v>
      </c>
      <c r="F28" s="31">
        <v>5880.0</v>
      </c>
      <c r="G28" s="32">
        <f t="shared" si="3"/>
        <v>840</v>
      </c>
      <c r="H28" s="5" t="str">
        <f t="shared" si="4"/>
        <v>Low</v>
      </c>
      <c r="I28" s="8" t="s">
        <v>44</v>
      </c>
      <c r="J28" s="31">
        <v>26930.0</v>
      </c>
      <c r="K28" s="32">
        <f t="shared" si="5"/>
        <v>3847.142857</v>
      </c>
      <c r="L28" s="5" t="str">
        <f t="shared" si="6"/>
        <v>Low</v>
      </c>
      <c r="M28" s="6"/>
    </row>
    <row r="29" ht="22.5" customHeight="1">
      <c r="A29" s="8" t="s">
        <v>48</v>
      </c>
      <c r="B29" s="31">
        <v>48870.0</v>
      </c>
      <c r="C29" s="32">
        <f t="shared" si="1"/>
        <v>9774</v>
      </c>
      <c r="D29" s="5" t="str">
        <f t="shared" si="2"/>
        <v>Good</v>
      </c>
      <c r="E29" s="8" t="s">
        <v>45</v>
      </c>
      <c r="F29" s="31">
        <v>81220.0</v>
      </c>
      <c r="G29" s="32">
        <f t="shared" si="3"/>
        <v>11602.85714</v>
      </c>
      <c r="H29" s="5" t="str">
        <f t="shared" si="4"/>
        <v>Top core</v>
      </c>
      <c r="I29" s="8" t="s">
        <v>45</v>
      </c>
      <c r="J29" s="31">
        <v>85660.0</v>
      </c>
      <c r="K29" s="32">
        <f t="shared" si="5"/>
        <v>12237.14286</v>
      </c>
      <c r="L29" s="5" t="str">
        <f t="shared" si="6"/>
        <v>Top core</v>
      </c>
      <c r="M29" s="6"/>
    </row>
    <row r="30" ht="22.5" customHeight="1">
      <c r="A30" s="8" t="s">
        <v>50</v>
      </c>
      <c r="B30" s="31">
        <v>56520.0</v>
      </c>
      <c r="C30" s="32">
        <f t="shared" si="1"/>
        <v>11304</v>
      </c>
      <c r="D30" s="5" t="str">
        <f t="shared" si="2"/>
        <v>Top core</v>
      </c>
      <c r="E30" s="8" t="s">
        <v>49</v>
      </c>
      <c r="F30" s="31">
        <v>56540.0</v>
      </c>
      <c r="G30" s="32">
        <f t="shared" si="3"/>
        <v>8077.142857</v>
      </c>
      <c r="H30" s="5" t="str">
        <f t="shared" si="4"/>
        <v>Average</v>
      </c>
      <c r="I30" s="8" t="s">
        <v>49</v>
      </c>
      <c r="J30" s="31">
        <v>60070.0</v>
      </c>
      <c r="K30" s="32">
        <f t="shared" si="5"/>
        <v>8581.428571</v>
      </c>
      <c r="L30" s="5" t="str">
        <f t="shared" si="6"/>
        <v>Average</v>
      </c>
      <c r="M30" s="6"/>
    </row>
    <row r="31" ht="22.5" customHeight="1">
      <c r="A31" s="8" t="s">
        <v>51</v>
      </c>
      <c r="B31" s="31">
        <v>58340.0</v>
      </c>
      <c r="C31" s="32">
        <f t="shared" si="1"/>
        <v>11668</v>
      </c>
      <c r="D31" s="5" t="str">
        <f t="shared" si="2"/>
        <v>Top core</v>
      </c>
      <c r="E31" s="8" t="s">
        <v>47</v>
      </c>
      <c r="F31" s="31">
        <v>72640.0</v>
      </c>
      <c r="G31" s="32">
        <f t="shared" si="3"/>
        <v>10377.14286</v>
      </c>
      <c r="H31" s="5" t="str">
        <f t="shared" si="4"/>
        <v>Good</v>
      </c>
      <c r="I31" s="8" t="s">
        <v>47</v>
      </c>
      <c r="J31" s="31">
        <v>66700.0</v>
      </c>
      <c r="K31" s="32">
        <f t="shared" si="5"/>
        <v>9528.571429</v>
      </c>
      <c r="L31" s="5" t="str">
        <f t="shared" si="6"/>
        <v>Good</v>
      </c>
      <c r="M31" s="6"/>
    </row>
    <row r="32" ht="22.5" customHeight="1">
      <c r="A32" s="8" t="s">
        <v>52</v>
      </c>
      <c r="B32" s="31">
        <v>46720.0</v>
      </c>
      <c r="C32" s="32">
        <f t="shared" si="1"/>
        <v>9344</v>
      </c>
      <c r="D32" s="5" t="str">
        <f t="shared" si="2"/>
        <v>Good</v>
      </c>
      <c r="E32" s="8" t="s">
        <v>48</v>
      </c>
      <c r="F32" s="31">
        <v>62220.0</v>
      </c>
      <c r="G32" s="32">
        <f t="shared" si="3"/>
        <v>8888.571429</v>
      </c>
      <c r="H32" s="5" t="str">
        <f t="shared" si="4"/>
        <v>Average</v>
      </c>
      <c r="I32" s="8" t="s">
        <v>48</v>
      </c>
      <c r="J32" s="31">
        <v>63280.0</v>
      </c>
      <c r="K32" s="32">
        <f t="shared" si="5"/>
        <v>9040</v>
      </c>
      <c r="L32" s="5" t="str">
        <f t="shared" si="6"/>
        <v>Good</v>
      </c>
      <c r="M32" s="6"/>
    </row>
    <row r="33" ht="22.5" customHeight="1">
      <c r="A33" s="8" t="s">
        <v>53</v>
      </c>
      <c r="B33" s="31">
        <v>59660.0</v>
      </c>
      <c r="C33" s="32">
        <f t="shared" si="1"/>
        <v>11932</v>
      </c>
      <c r="D33" s="5" t="str">
        <f t="shared" si="2"/>
        <v>Top core</v>
      </c>
      <c r="E33" s="8" t="s">
        <v>50</v>
      </c>
      <c r="F33" s="31">
        <v>75160.0</v>
      </c>
      <c r="G33" s="32">
        <f t="shared" si="3"/>
        <v>10737.14286</v>
      </c>
      <c r="H33" s="5" t="str">
        <f t="shared" si="4"/>
        <v>Good</v>
      </c>
      <c r="I33" s="8" t="s">
        <v>50</v>
      </c>
      <c r="J33" s="31">
        <v>60780.0</v>
      </c>
      <c r="K33" s="32">
        <f t="shared" si="5"/>
        <v>8682.857143</v>
      </c>
      <c r="L33" s="5" t="str">
        <f t="shared" si="6"/>
        <v>Average</v>
      </c>
      <c r="M33" s="6"/>
    </row>
    <row r="34" ht="22.5" customHeight="1">
      <c r="A34" s="8" t="s">
        <v>54</v>
      </c>
      <c r="B34" s="31">
        <v>63800.0</v>
      </c>
      <c r="C34" s="32">
        <f t="shared" si="1"/>
        <v>12760</v>
      </c>
      <c r="D34" s="5" t="str">
        <f t="shared" si="2"/>
        <v>Top core</v>
      </c>
      <c r="E34" s="8" t="s">
        <v>51</v>
      </c>
      <c r="F34" s="31">
        <v>85480.0</v>
      </c>
      <c r="G34" s="32">
        <f t="shared" si="3"/>
        <v>12211.42857</v>
      </c>
      <c r="H34" s="5" t="str">
        <f t="shared" si="4"/>
        <v>Top core</v>
      </c>
      <c r="I34" s="8" t="s">
        <v>51</v>
      </c>
      <c r="J34" s="31">
        <v>80390.0</v>
      </c>
      <c r="K34" s="32">
        <f t="shared" si="5"/>
        <v>11484.28571</v>
      </c>
      <c r="L34" s="5" t="str">
        <f t="shared" si="6"/>
        <v>Top core</v>
      </c>
      <c r="M34" s="6"/>
    </row>
    <row r="35" ht="22.5" customHeight="1">
      <c r="A35" s="8" t="s">
        <v>55</v>
      </c>
      <c r="B35" s="31">
        <v>59930.0</v>
      </c>
      <c r="C35" s="32">
        <f t="shared" si="1"/>
        <v>11986</v>
      </c>
      <c r="D35" s="5" t="str">
        <f t="shared" si="2"/>
        <v>Top core</v>
      </c>
      <c r="E35" s="8" t="s">
        <v>52</v>
      </c>
      <c r="F35" s="31">
        <v>84260.0</v>
      </c>
      <c r="G35" s="32">
        <f t="shared" si="3"/>
        <v>12037.14286</v>
      </c>
      <c r="H35" s="5" t="str">
        <f t="shared" si="4"/>
        <v>Top core</v>
      </c>
      <c r="I35" s="8" t="s">
        <v>52</v>
      </c>
      <c r="J35" s="31">
        <v>77010.0</v>
      </c>
      <c r="K35" s="32">
        <f t="shared" si="5"/>
        <v>11001.42857</v>
      </c>
      <c r="L35" s="5" t="str">
        <f t="shared" si="6"/>
        <v>Top core</v>
      </c>
      <c r="M35" s="6"/>
    </row>
    <row r="36" ht="22.5" customHeight="1">
      <c r="A36" s="8" t="s">
        <v>56</v>
      </c>
      <c r="B36" s="31">
        <v>62660.0</v>
      </c>
      <c r="C36" s="32">
        <f t="shared" si="1"/>
        <v>12532</v>
      </c>
      <c r="D36" s="5" t="str">
        <f t="shared" si="2"/>
        <v>Top core</v>
      </c>
      <c r="E36" s="8" t="s">
        <v>53</v>
      </c>
      <c r="F36" s="31">
        <v>105040.0</v>
      </c>
      <c r="G36" s="32">
        <f t="shared" si="3"/>
        <v>15005.71429</v>
      </c>
      <c r="H36" s="5" t="str">
        <f t="shared" si="4"/>
        <v>Top core</v>
      </c>
      <c r="I36" s="8" t="s">
        <v>53</v>
      </c>
      <c r="J36" s="31">
        <v>95320.0</v>
      </c>
      <c r="K36" s="32">
        <f t="shared" si="5"/>
        <v>13617.14286</v>
      </c>
      <c r="L36" s="5" t="str">
        <f t="shared" si="6"/>
        <v>Top core</v>
      </c>
      <c r="M36" s="6"/>
    </row>
    <row r="37" ht="22.5" customHeight="1">
      <c r="A37" s="8" t="s">
        <v>57</v>
      </c>
      <c r="B37" s="31">
        <v>43720.0</v>
      </c>
      <c r="C37" s="32">
        <f t="shared" si="1"/>
        <v>8744</v>
      </c>
      <c r="D37" s="5" t="str">
        <f t="shared" si="2"/>
        <v>Average</v>
      </c>
      <c r="E37" s="8" t="s">
        <v>54</v>
      </c>
      <c r="F37" s="31">
        <v>97240.0</v>
      </c>
      <c r="G37" s="32">
        <f t="shared" si="3"/>
        <v>13891.42857</v>
      </c>
      <c r="H37" s="5" t="str">
        <f t="shared" si="4"/>
        <v>Top core</v>
      </c>
      <c r="I37" s="8" t="s">
        <v>54</v>
      </c>
      <c r="J37" s="31">
        <v>97870.0</v>
      </c>
      <c r="K37" s="32">
        <f t="shared" si="5"/>
        <v>13981.42857</v>
      </c>
      <c r="L37" s="5" t="str">
        <f t="shared" si="6"/>
        <v>Top core</v>
      </c>
      <c r="M37" s="6"/>
    </row>
    <row r="38" ht="22.5" customHeight="1">
      <c r="A38" s="8" t="s">
        <v>58</v>
      </c>
      <c r="B38" s="31">
        <v>47540.0</v>
      </c>
      <c r="C38" s="32">
        <f t="shared" si="1"/>
        <v>9508</v>
      </c>
      <c r="D38" s="5" t="str">
        <f t="shared" si="2"/>
        <v>Good</v>
      </c>
      <c r="E38" s="8" t="s">
        <v>55</v>
      </c>
      <c r="F38" s="31">
        <v>43690.0</v>
      </c>
      <c r="G38" s="32">
        <f t="shared" si="3"/>
        <v>6241.428571</v>
      </c>
      <c r="H38" s="5" t="str">
        <f t="shared" si="4"/>
        <v>Below avg</v>
      </c>
      <c r="I38" s="8" t="s">
        <v>55</v>
      </c>
      <c r="J38" s="31">
        <v>27560.0</v>
      </c>
      <c r="K38" s="32">
        <f t="shared" si="5"/>
        <v>3937.142857</v>
      </c>
      <c r="L38" s="5" t="str">
        <f t="shared" si="6"/>
        <v>Low</v>
      </c>
      <c r="M38" s="6"/>
    </row>
    <row r="39" ht="22.5" customHeight="1">
      <c r="A39" s="8" t="s">
        <v>59</v>
      </c>
      <c r="B39" s="31">
        <v>38870.0</v>
      </c>
      <c r="C39" s="32">
        <f t="shared" si="1"/>
        <v>7774</v>
      </c>
      <c r="D39" s="5" t="str">
        <f t="shared" si="2"/>
        <v>Below avg</v>
      </c>
      <c r="E39" s="8" t="s">
        <v>56</v>
      </c>
      <c r="F39" s="31">
        <v>90820.0</v>
      </c>
      <c r="G39" s="32">
        <f t="shared" si="3"/>
        <v>12974.28571</v>
      </c>
      <c r="H39" s="5" t="str">
        <f t="shared" si="4"/>
        <v>Top core</v>
      </c>
      <c r="I39" s="8" t="s">
        <v>56</v>
      </c>
      <c r="J39" s="31">
        <v>75340.0</v>
      </c>
      <c r="K39" s="32">
        <f t="shared" si="5"/>
        <v>10762.85714</v>
      </c>
      <c r="L39" s="5" t="str">
        <f t="shared" si="6"/>
        <v>Good</v>
      </c>
      <c r="M39" s="6"/>
    </row>
    <row r="40" ht="22.5" customHeight="1">
      <c r="A40" s="8" t="s">
        <v>60</v>
      </c>
      <c r="B40" s="31">
        <v>42910.0</v>
      </c>
      <c r="C40" s="32">
        <f t="shared" si="1"/>
        <v>8582</v>
      </c>
      <c r="D40" s="5" t="str">
        <f t="shared" si="2"/>
        <v>Average</v>
      </c>
      <c r="E40" s="8" t="s">
        <v>57</v>
      </c>
      <c r="F40" s="31">
        <v>47520.0</v>
      </c>
      <c r="G40" s="32">
        <f t="shared" si="3"/>
        <v>6788.571429</v>
      </c>
      <c r="H40" s="5" t="str">
        <f t="shared" si="4"/>
        <v>Below avg</v>
      </c>
      <c r="I40" s="8" t="s">
        <v>58</v>
      </c>
      <c r="J40" s="31">
        <v>68840.0</v>
      </c>
      <c r="K40" s="32">
        <f t="shared" si="5"/>
        <v>9834.285714</v>
      </c>
      <c r="L40" s="5" t="str">
        <f t="shared" si="6"/>
        <v>Good</v>
      </c>
      <c r="M40" s="6"/>
    </row>
    <row r="41" ht="22.5" customHeight="1">
      <c r="A41" s="8" t="s">
        <v>61</v>
      </c>
      <c r="B41" s="31">
        <v>66200.0</v>
      </c>
      <c r="C41" s="32">
        <f t="shared" si="1"/>
        <v>13240</v>
      </c>
      <c r="D41" s="5" t="str">
        <f t="shared" si="2"/>
        <v>Top core</v>
      </c>
      <c r="E41" s="8" t="s">
        <v>58</v>
      </c>
      <c r="F41" s="31">
        <v>65920.0</v>
      </c>
      <c r="G41" s="32">
        <f t="shared" si="3"/>
        <v>9417.142857</v>
      </c>
      <c r="H41" s="5" t="str">
        <f t="shared" si="4"/>
        <v>Good</v>
      </c>
      <c r="I41" s="8" t="s">
        <v>59</v>
      </c>
      <c r="J41" s="31">
        <v>59180.0</v>
      </c>
      <c r="K41" s="32">
        <f t="shared" si="5"/>
        <v>8454.285714</v>
      </c>
      <c r="L41" s="5" t="str">
        <f t="shared" si="6"/>
        <v>Average</v>
      </c>
      <c r="M41" s="6"/>
    </row>
    <row r="42" ht="22.5" customHeight="1">
      <c r="A42" s="8" t="s">
        <v>62</v>
      </c>
      <c r="B42" s="31">
        <v>56270.0</v>
      </c>
      <c r="C42" s="32">
        <f t="shared" si="1"/>
        <v>11254</v>
      </c>
      <c r="D42" s="5" t="str">
        <f t="shared" si="2"/>
        <v>Top core</v>
      </c>
      <c r="E42" s="8" t="s">
        <v>59</v>
      </c>
      <c r="F42" s="31">
        <v>49750.0</v>
      </c>
      <c r="G42" s="32">
        <f t="shared" si="3"/>
        <v>7107.142857</v>
      </c>
      <c r="H42" s="5" t="str">
        <f t="shared" si="4"/>
        <v>Below avg</v>
      </c>
      <c r="I42" s="8" t="s">
        <v>60</v>
      </c>
      <c r="J42" s="31">
        <v>58910.0</v>
      </c>
      <c r="K42" s="32">
        <f t="shared" si="5"/>
        <v>8415.714286</v>
      </c>
      <c r="L42" s="5" t="str">
        <f t="shared" si="6"/>
        <v>Average</v>
      </c>
      <c r="M42" s="6"/>
    </row>
    <row r="43" ht="22.5" customHeight="1">
      <c r="A43" s="8" t="s">
        <v>63</v>
      </c>
      <c r="B43" s="31">
        <v>52030.0</v>
      </c>
      <c r="C43" s="32">
        <f t="shared" si="1"/>
        <v>10406</v>
      </c>
      <c r="D43" s="5" t="str">
        <f t="shared" si="2"/>
        <v>Good</v>
      </c>
      <c r="E43" s="8" t="s">
        <v>60</v>
      </c>
      <c r="F43" s="31">
        <v>60680.0</v>
      </c>
      <c r="G43" s="32">
        <f t="shared" si="3"/>
        <v>8668.571429</v>
      </c>
      <c r="H43" s="5" t="str">
        <f t="shared" si="4"/>
        <v>Average</v>
      </c>
      <c r="I43" s="8" t="s">
        <v>61</v>
      </c>
      <c r="J43" s="31">
        <v>96390.0</v>
      </c>
      <c r="K43" s="32">
        <f t="shared" si="5"/>
        <v>13770</v>
      </c>
      <c r="L43" s="5" t="str">
        <f t="shared" si="6"/>
        <v>Top core</v>
      </c>
      <c r="M43" s="6"/>
    </row>
    <row r="44" ht="22.5" customHeight="1">
      <c r="A44" s="8" t="s">
        <v>64</v>
      </c>
      <c r="B44" s="31">
        <v>34280.0</v>
      </c>
      <c r="C44" s="32">
        <f t="shared" si="1"/>
        <v>6856</v>
      </c>
      <c r="D44" s="5" t="str">
        <f t="shared" si="2"/>
        <v>Below avg</v>
      </c>
      <c r="E44" s="8" t="s">
        <v>61</v>
      </c>
      <c r="F44" s="31">
        <v>88510.0</v>
      </c>
      <c r="G44" s="32">
        <f t="shared" si="3"/>
        <v>12644.28571</v>
      </c>
      <c r="H44" s="5" t="str">
        <f t="shared" si="4"/>
        <v>Top core</v>
      </c>
      <c r="I44" s="8" t="s">
        <v>62</v>
      </c>
      <c r="J44" s="31">
        <v>83380.0</v>
      </c>
      <c r="K44" s="32">
        <f t="shared" si="5"/>
        <v>11911.42857</v>
      </c>
      <c r="L44" s="5" t="str">
        <f t="shared" si="6"/>
        <v>Top core</v>
      </c>
      <c r="M44" s="6"/>
    </row>
    <row r="45" ht="22.5" customHeight="1">
      <c r="A45" s="8" t="s">
        <v>65</v>
      </c>
      <c r="B45" s="31">
        <v>45960.0</v>
      </c>
      <c r="C45" s="32">
        <f t="shared" si="1"/>
        <v>9192</v>
      </c>
      <c r="D45" s="5" t="str">
        <f t="shared" si="2"/>
        <v>Good</v>
      </c>
      <c r="E45" s="8" t="s">
        <v>62</v>
      </c>
      <c r="F45" s="31">
        <v>83380.0</v>
      </c>
      <c r="G45" s="32">
        <f t="shared" si="3"/>
        <v>11911.42857</v>
      </c>
      <c r="H45" s="5" t="str">
        <f t="shared" si="4"/>
        <v>Top core</v>
      </c>
      <c r="I45" s="8" t="s">
        <v>63</v>
      </c>
      <c r="J45" s="31">
        <v>84950.0</v>
      </c>
      <c r="K45" s="32">
        <f t="shared" si="5"/>
        <v>12135.71429</v>
      </c>
      <c r="L45" s="5" t="str">
        <f t="shared" si="6"/>
        <v>Top core</v>
      </c>
      <c r="M45" s="6"/>
    </row>
    <row r="46" ht="22.5" customHeight="1">
      <c r="A46" s="8" t="s">
        <v>66</v>
      </c>
      <c r="B46" s="31">
        <v>39280.0</v>
      </c>
      <c r="C46" s="32">
        <f t="shared" si="1"/>
        <v>7856</v>
      </c>
      <c r="D46" s="5" t="str">
        <f t="shared" si="2"/>
        <v>Below avg</v>
      </c>
      <c r="E46" s="8" t="s">
        <v>63</v>
      </c>
      <c r="F46" s="31">
        <v>62720.0</v>
      </c>
      <c r="G46" s="32">
        <f t="shared" si="3"/>
        <v>8960</v>
      </c>
      <c r="H46" s="5" t="str">
        <f t="shared" si="4"/>
        <v>Average</v>
      </c>
      <c r="I46" s="8" t="s">
        <v>64</v>
      </c>
      <c r="J46" s="31">
        <v>33700.0</v>
      </c>
      <c r="K46" s="32">
        <f t="shared" si="5"/>
        <v>4814.285714</v>
      </c>
      <c r="L46" s="5" t="str">
        <f t="shared" si="6"/>
        <v>Low</v>
      </c>
      <c r="M46" s="6"/>
    </row>
    <row r="47" ht="22.5" customHeight="1">
      <c r="A47" s="8" t="s">
        <v>67</v>
      </c>
      <c r="B47" s="31">
        <v>39320.0</v>
      </c>
      <c r="C47" s="32">
        <f t="shared" si="1"/>
        <v>7864</v>
      </c>
      <c r="D47" s="5" t="str">
        <f t="shared" si="2"/>
        <v>Below avg</v>
      </c>
      <c r="E47" s="8" t="s">
        <v>64</v>
      </c>
      <c r="F47" s="31">
        <v>48520.0</v>
      </c>
      <c r="G47" s="32">
        <f t="shared" si="3"/>
        <v>6931.428571</v>
      </c>
      <c r="H47" s="5" t="str">
        <f t="shared" si="4"/>
        <v>Below avg</v>
      </c>
      <c r="I47" s="8" t="s">
        <v>65</v>
      </c>
      <c r="J47" s="31">
        <v>55980.0</v>
      </c>
      <c r="K47" s="32">
        <f t="shared" si="5"/>
        <v>7997.142857</v>
      </c>
      <c r="L47" s="5" t="str">
        <f t="shared" si="6"/>
        <v>Below avg</v>
      </c>
      <c r="M47" s="6"/>
    </row>
    <row r="48" ht="22.5" customHeight="1">
      <c r="A48" s="8" t="s">
        <v>68</v>
      </c>
      <c r="B48" s="31">
        <v>56910.0</v>
      </c>
      <c r="C48" s="32">
        <f t="shared" si="1"/>
        <v>11382</v>
      </c>
      <c r="D48" s="5" t="str">
        <f t="shared" si="2"/>
        <v>Top core</v>
      </c>
      <c r="E48" s="8" t="s">
        <v>65</v>
      </c>
      <c r="F48" s="31">
        <v>67480.0</v>
      </c>
      <c r="G48" s="32">
        <f t="shared" si="3"/>
        <v>9640</v>
      </c>
      <c r="H48" s="5" t="str">
        <f t="shared" si="4"/>
        <v>Good</v>
      </c>
      <c r="I48" s="8" t="s">
        <v>66</v>
      </c>
      <c r="J48" s="31">
        <v>62960.0</v>
      </c>
      <c r="K48" s="32">
        <f t="shared" si="5"/>
        <v>8994.285714</v>
      </c>
      <c r="L48" s="5" t="str">
        <f t="shared" si="6"/>
        <v>Average</v>
      </c>
      <c r="M48" s="6"/>
    </row>
    <row r="49" ht="22.5" customHeight="1">
      <c r="A49" s="8" t="s">
        <v>69</v>
      </c>
      <c r="B49" s="31">
        <v>62180.0</v>
      </c>
      <c r="C49" s="32">
        <f t="shared" si="1"/>
        <v>12436</v>
      </c>
      <c r="D49" s="5" t="str">
        <f t="shared" si="2"/>
        <v>Top core</v>
      </c>
      <c r="E49" s="8" t="s">
        <v>66</v>
      </c>
      <c r="F49" s="31">
        <v>65990.0</v>
      </c>
      <c r="G49" s="32">
        <f t="shared" si="3"/>
        <v>9427.142857</v>
      </c>
      <c r="H49" s="5" t="str">
        <f t="shared" si="4"/>
        <v>Good</v>
      </c>
      <c r="I49" s="8" t="s">
        <v>67</v>
      </c>
      <c r="J49" s="31">
        <v>44430.0</v>
      </c>
      <c r="K49" s="32">
        <f t="shared" si="5"/>
        <v>6347.142857</v>
      </c>
      <c r="L49" s="5" t="str">
        <f t="shared" si="6"/>
        <v>Below avg</v>
      </c>
      <c r="M49" s="6"/>
    </row>
    <row r="50" ht="22.5" customHeight="1">
      <c r="A50" s="8" t="s">
        <v>70</v>
      </c>
      <c r="B50" s="31">
        <v>56900.0</v>
      </c>
      <c r="C50" s="32">
        <f t="shared" si="1"/>
        <v>11380</v>
      </c>
      <c r="D50" s="5" t="str">
        <f t="shared" si="2"/>
        <v>Top core</v>
      </c>
      <c r="E50" s="8" t="s">
        <v>67</v>
      </c>
      <c r="F50" s="31">
        <v>40670.0</v>
      </c>
      <c r="G50" s="32">
        <f t="shared" si="3"/>
        <v>5810</v>
      </c>
      <c r="H50" s="5" t="str">
        <f t="shared" si="4"/>
        <v>Low</v>
      </c>
      <c r="I50" s="8" t="s">
        <v>68</v>
      </c>
      <c r="J50" s="31">
        <v>81380.0</v>
      </c>
      <c r="K50" s="32">
        <f t="shared" si="5"/>
        <v>11625.71429</v>
      </c>
      <c r="L50" s="5" t="str">
        <f t="shared" si="6"/>
        <v>Top core</v>
      </c>
      <c r="M50" s="6"/>
    </row>
    <row r="51" ht="22.5" customHeight="1">
      <c r="A51" s="8" t="s">
        <v>71</v>
      </c>
      <c r="B51" s="31">
        <v>31290.0</v>
      </c>
      <c r="C51" s="32">
        <f t="shared" si="1"/>
        <v>6258</v>
      </c>
      <c r="D51" s="5" t="str">
        <f t="shared" si="2"/>
        <v>Below avg</v>
      </c>
      <c r="E51" s="8" t="s">
        <v>68</v>
      </c>
      <c r="F51" s="31">
        <v>81560.0</v>
      </c>
      <c r="G51" s="32">
        <f t="shared" si="3"/>
        <v>11651.42857</v>
      </c>
      <c r="H51" s="5" t="str">
        <f t="shared" si="4"/>
        <v>Top core</v>
      </c>
      <c r="I51" s="8" t="s">
        <v>69</v>
      </c>
      <c r="J51" s="31">
        <v>81270.0</v>
      </c>
      <c r="K51" s="32">
        <f t="shared" si="5"/>
        <v>11610</v>
      </c>
      <c r="L51" s="5" t="str">
        <f t="shared" si="6"/>
        <v>Top core</v>
      </c>
      <c r="M51" s="6"/>
    </row>
    <row r="52" ht="22.5" customHeight="1">
      <c r="A52" s="8" t="s">
        <v>72</v>
      </c>
      <c r="B52" s="31">
        <v>42120.0</v>
      </c>
      <c r="C52" s="32">
        <f t="shared" si="1"/>
        <v>8424</v>
      </c>
      <c r="D52" s="5" t="str">
        <f t="shared" si="2"/>
        <v>Average</v>
      </c>
      <c r="E52" s="8" t="s">
        <v>69</v>
      </c>
      <c r="F52" s="31">
        <v>87880.0</v>
      </c>
      <c r="G52" s="32">
        <f t="shared" si="3"/>
        <v>12554.28571</v>
      </c>
      <c r="H52" s="5" t="str">
        <f t="shared" si="4"/>
        <v>Top core</v>
      </c>
      <c r="I52" s="8" t="s">
        <v>70</v>
      </c>
      <c r="J52" s="31">
        <v>74220.0</v>
      </c>
      <c r="K52" s="32">
        <f t="shared" si="5"/>
        <v>10602.85714</v>
      </c>
      <c r="L52" s="5" t="str">
        <f t="shared" si="6"/>
        <v>Good</v>
      </c>
      <c r="M52" s="6"/>
    </row>
    <row r="53" ht="22.5" customHeight="1">
      <c r="A53" s="8" t="s">
        <v>73</v>
      </c>
      <c r="B53" s="31">
        <v>56430.0</v>
      </c>
      <c r="C53" s="32">
        <f t="shared" si="1"/>
        <v>11286</v>
      </c>
      <c r="D53" s="5" t="str">
        <f t="shared" si="2"/>
        <v>Top core</v>
      </c>
      <c r="E53" s="8" t="s">
        <v>70</v>
      </c>
      <c r="F53" s="31">
        <v>74210.0</v>
      </c>
      <c r="G53" s="32">
        <f t="shared" si="3"/>
        <v>10601.42857</v>
      </c>
      <c r="H53" s="5" t="str">
        <f t="shared" si="4"/>
        <v>Good</v>
      </c>
      <c r="I53" s="8" t="s">
        <v>71</v>
      </c>
      <c r="J53" s="31">
        <v>44230.0</v>
      </c>
      <c r="K53" s="32">
        <f t="shared" si="5"/>
        <v>6318.571429</v>
      </c>
      <c r="L53" s="5" t="str">
        <f t="shared" si="6"/>
        <v>Below avg</v>
      </c>
      <c r="M53" s="6"/>
    </row>
    <row r="54" ht="22.5" customHeight="1">
      <c r="A54" s="8" t="s">
        <v>74</v>
      </c>
      <c r="B54" s="31">
        <v>48920.0</v>
      </c>
      <c r="C54" s="32">
        <f t="shared" si="1"/>
        <v>9784</v>
      </c>
      <c r="D54" s="5" t="str">
        <f t="shared" si="2"/>
        <v>Good</v>
      </c>
      <c r="E54" s="8" t="s">
        <v>71</v>
      </c>
      <c r="F54" s="31">
        <v>45780.0</v>
      </c>
      <c r="G54" s="32">
        <f t="shared" si="3"/>
        <v>6540</v>
      </c>
      <c r="H54" s="5" t="str">
        <f t="shared" si="4"/>
        <v>Below avg</v>
      </c>
      <c r="I54" s="8" t="s">
        <v>72</v>
      </c>
      <c r="J54" s="31">
        <v>84760.0</v>
      </c>
      <c r="K54" s="32">
        <f t="shared" si="5"/>
        <v>12108.57143</v>
      </c>
      <c r="L54" s="5" t="str">
        <f t="shared" si="6"/>
        <v>Top core</v>
      </c>
      <c r="M54" s="6"/>
    </row>
    <row r="55" ht="22.5" customHeight="1">
      <c r="A55" s="8" t="s">
        <v>75</v>
      </c>
      <c r="B55" s="31">
        <v>18840.0</v>
      </c>
      <c r="C55" s="32">
        <f t="shared" si="1"/>
        <v>3768</v>
      </c>
      <c r="D55" s="5" t="str">
        <f t="shared" si="2"/>
        <v>Low</v>
      </c>
      <c r="E55" s="8" t="s">
        <v>72</v>
      </c>
      <c r="F55" s="31">
        <v>65150.0</v>
      </c>
      <c r="G55" s="32">
        <f t="shared" si="3"/>
        <v>9307.142857</v>
      </c>
      <c r="H55" s="5" t="str">
        <f t="shared" si="4"/>
        <v>Good</v>
      </c>
      <c r="I55" s="8" t="s">
        <v>73</v>
      </c>
      <c r="J55" s="31">
        <v>66640.0</v>
      </c>
      <c r="K55" s="32">
        <f t="shared" si="5"/>
        <v>9520</v>
      </c>
      <c r="L55" s="5" t="str">
        <f t="shared" si="6"/>
        <v>Good</v>
      </c>
      <c r="M55" s="6"/>
    </row>
    <row r="56" ht="22.5" customHeight="1">
      <c r="A56" s="8" t="s">
        <v>76</v>
      </c>
      <c r="B56" s="31">
        <v>28700.0</v>
      </c>
      <c r="C56" s="32">
        <f t="shared" si="1"/>
        <v>5740</v>
      </c>
      <c r="D56" s="5" t="str">
        <f t="shared" si="2"/>
        <v>Low</v>
      </c>
      <c r="E56" s="8" t="s">
        <v>73</v>
      </c>
      <c r="F56" s="31">
        <v>79540.0</v>
      </c>
      <c r="G56" s="32">
        <f t="shared" si="3"/>
        <v>11362.85714</v>
      </c>
      <c r="H56" s="5" t="str">
        <f t="shared" si="4"/>
        <v>Top core</v>
      </c>
      <c r="I56" s="8" t="s">
        <v>74</v>
      </c>
      <c r="J56" s="31">
        <v>66610.0</v>
      </c>
      <c r="K56" s="32">
        <f t="shared" si="5"/>
        <v>9515.714286</v>
      </c>
      <c r="L56" s="5" t="str">
        <f t="shared" si="6"/>
        <v>Good</v>
      </c>
      <c r="M56" s="6"/>
    </row>
    <row r="57" ht="22.5" customHeight="1">
      <c r="A57" s="10">
        <v>67.0</v>
      </c>
      <c r="B57" s="31">
        <v>46640.0</v>
      </c>
      <c r="C57" s="32">
        <f t="shared" si="1"/>
        <v>9328</v>
      </c>
      <c r="D57" s="5" t="str">
        <f t="shared" si="2"/>
        <v>Good</v>
      </c>
      <c r="E57" s="8" t="s">
        <v>74</v>
      </c>
      <c r="F57" s="31">
        <v>73890.0</v>
      </c>
      <c r="G57" s="32">
        <f t="shared" si="3"/>
        <v>10555.71429</v>
      </c>
      <c r="H57" s="5" t="str">
        <f t="shared" si="4"/>
        <v>Good</v>
      </c>
      <c r="I57" s="8" t="s">
        <v>75</v>
      </c>
      <c r="J57" s="31">
        <v>66800.0</v>
      </c>
      <c r="K57" s="32">
        <f t="shared" si="5"/>
        <v>9542.857143</v>
      </c>
      <c r="L57" s="5" t="str">
        <f t="shared" si="6"/>
        <v>Good</v>
      </c>
      <c r="M57" s="6"/>
    </row>
    <row r="58" ht="22.5" customHeight="1">
      <c r="A58" s="8" t="s">
        <v>77</v>
      </c>
      <c r="B58" s="31" t="s">
        <v>145</v>
      </c>
      <c r="C58" s="31" t="s">
        <v>145</v>
      </c>
      <c r="D58" s="31" t="s">
        <v>145</v>
      </c>
      <c r="E58" s="8" t="s">
        <v>75</v>
      </c>
      <c r="F58" s="31">
        <v>65520.0</v>
      </c>
      <c r="G58" s="32">
        <f t="shared" si="3"/>
        <v>9360</v>
      </c>
      <c r="H58" s="31" t="s">
        <v>145</v>
      </c>
      <c r="I58" s="8" t="s">
        <v>76</v>
      </c>
      <c r="J58" s="31">
        <v>140.0</v>
      </c>
      <c r="K58" s="32">
        <f t="shared" si="5"/>
        <v>20</v>
      </c>
      <c r="L58" s="5" t="str">
        <f t="shared" si="6"/>
        <v>Low</v>
      </c>
      <c r="M58" s="6"/>
    </row>
    <row r="59" ht="22.5" customHeight="1">
      <c r="A59" s="11" t="s">
        <v>78</v>
      </c>
      <c r="B59" s="31">
        <v>12240.0</v>
      </c>
      <c r="C59" s="32">
        <f t="shared" ref="C59:C87" si="7">B59/5</f>
        <v>2448</v>
      </c>
      <c r="D59" s="5" t="str">
        <f t="shared" ref="D59:D102" si="8">IF(C59&gt;11000,"Top core",
 IF(C59&gt;=9000,"Good",
 IF(C59&gt;=8000,"Average",
 IF(C59&gt;=6000,"Below avg","Low"))))</f>
        <v>Low</v>
      </c>
      <c r="E59" s="8" t="s">
        <v>76</v>
      </c>
      <c r="F59" s="31">
        <v>40360.0</v>
      </c>
      <c r="G59" s="32">
        <f t="shared" si="3"/>
        <v>5765.714286</v>
      </c>
      <c r="H59" s="5" t="str">
        <f t="shared" ref="H59:H100" si="9">IF(G59&gt;11000,"Top core",
 IF(G59&gt;=9000,"Good",
 IF(G59&gt;=8000,"Average",
 IF(G59&gt;=6000,"Below avg","Low"))))</f>
        <v>Low</v>
      </c>
      <c r="I59" s="10">
        <v>67.0</v>
      </c>
      <c r="J59" s="31">
        <v>80710.0</v>
      </c>
      <c r="K59" s="32">
        <f t="shared" si="5"/>
        <v>11530</v>
      </c>
      <c r="L59" s="5" t="str">
        <f t="shared" si="6"/>
        <v>Top core</v>
      </c>
      <c r="M59" s="6"/>
    </row>
    <row r="60" ht="22.5" customHeight="1">
      <c r="A60" s="11" t="s">
        <v>79</v>
      </c>
      <c r="B60" s="31">
        <v>62240.0</v>
      </c>
      <c r="C60" s="32">
        <f t="shared" si="7"/>
        <v>12448</v>
      </c>
      <c r="D60" s="5" t="str">
        <f t="shared" si="8"/>
        <v>Top core</v>
      </c>
      <c r="E60" s="10">
        <v>67.0</v>
      </c>
      <c r="F60" s="31">
        <v>73780.0</v>
      </c>
      <c r="G60" s="32">
        <f t="shared" si="3"/>
        <v>10540</v>
      </c>
      <c r="H60" s="5" t="str">
        <f t="shared" si="9"/>
        <v>Good</v>
      </c>
      <c r="I60" s="8" t="s">
        <v>77</v>
      </c>
      <c r="J60" s="31">
        <v>3280.0</v>
      </c>
      <c r="K60" s="32">
        <f t="shared" si="5"/>
        <v>468.5714286</v>
      </c>
      <c r="L60" s="5" t="str">
        <f t="shared" si="6"/>
        <v>Low</v>
      </c>
      <c r="M60" s="6"/>
    </row>
    <row r="61" ht="22.5" customHeight="1">
      <c r="A61" s="11" t="s">
        <v>80</v>
      </c>
      <c r="B61" s="31">
        <v>47340.0</v>
      </c>
      <c r="C61" s="32">
        <f t="shared" si="7"/>
        <v>9468</v>
      </c>
      <c r="D61" s="5" t="str">
        <f t="shared" si="8"/>
        <v>Good</v>
      </c>
      <c r="E61" s="8" t="s">
        <v>77</v>
      </c>
      <c r="F61" s="31">
        <v>44770.0</v>
      </c>
      <c r="G61" s="32">
        <f t="shared" si="3"/>
        <v>6395.714286</v>
      </c>
      <c r="H61" s="5" t="str">
        <f t="shared" si="9"/>
        <v>Below avg</v>
      </c>
      <c r="I61" s="8" t="s">
        <v>80</v>
      </c>
      <c r="J61" s="31">
        <v>65220.0</v>
      </c>
      <c r="K61" s="32">
        <f t="shared" si="5"/>
        <v>9317.142857</v>
      </c>
      <c r="L61" s="5" t="str">
        <f t="shared" si="6"/>
        <v>Good</v>
      </c>
      <c r="M61" s="6"/>
    </row>
    <row r="62" ht="22.5" customHeight="1">
      <c r="A62" s="11" t="s">
        <v>82</v>
      </c>
      <c r="B62" s="31">
        <v>51430.0</v>
      </c>
      <c r="C62" s="32">
        <f t="shared" si="7"/>
        <v>10286</v>
      </c>
      <c r="D62" s="5" t="str">
        <f t="shared" si="8"/>
        <v>Good</v>
      </c>
      <c r="E62" s="8" t="s">
        <v>80</v>
      </c>
      <c r="F62" s="31">
        <v>62190.0</v>
      </c>
      <c r="G62" s="32">
        <f t="shared" si="3"/>
        <v>8884.285714</v>
      </c>
      <c r="H62" s="5" t="str">
        <f t="shared" si="9"/>
        <v>Average</v>
      </c>
      <c r="I62" s="8" t="s">
        <v>81</v>
      </c>
      <c r="J62" s="31">
        <v>73900.0</v>
      </c>
      <c r="K62" s="32">
        <f t="shared" si="5"/>
        <v>10557.14286</v>
      </c>
      <c r="L62" s="5" t="str">
        <f t="shared" si="6"/>
        <v>Good</v>
      </c>
      <c r="M62" s="6"/>
    </row>
    <row r="63" ht="22.5" customHeight="1">
      <c r="A63" s="11" t="s">
        <v>84</v>
      </c>
      <c r="B63" s="31">
        <v>42140.0</v>
      </c>
      <c r="C63" s="32">
        <f t="shared" si="7"/>
        <v>8428</v>
      </c>
      <c r="D63" s="5" t="str">
        <f t="shared" si="8"/>
        <v>Average</v>
      </c>
      <c r="E63" s="8" t="s">
        <v>81</v>
      </c>
      <c r="F63" s="31">
        <v>68200.0</v>
      </c>
      <c r="G63" s="32">
        <f t="shared" si="3"/>
        <v>9742.857143</v>
      </c>
      <c r="H63" s="5" t="str">
        <f t="shared" si="9"/>
        <v>Good</v>
      </c>
      <c r="I63" s="12" t="s">
        <v>83</v>
      </c>
      <c r="J63" s="31">
        <v>85240.0</v>
      </c>
      <c r="K63" s="32">
        <f t="shared" si="5"/>
        <v>12177.14286</v>
      </c>
      <c r="L63" s="5" t="str">
        <f t="shared" si="6"/>
        <v>Top core</v>
      </c>
      <c r="M63" s="6"/>
    </row>
    <row r="64" ht="22.5" customHeight="1">
      <c r="A64" s="11" t="s">
        <v>86</v>
      </c>
      <c r="B64" s="31">
        <v>48710.0</v>
      </c>
      <c r="C64" s="32">
        <f t="shared" si="7"/>
        <v>9742</v>
      </c>
      <c r="D64" s="5" t="str">
        <f t="shared" si="8"/>
        <v>Good</v>
      </c>
      <c r="E64" s="12" t="s">
        <v>83</v>
      </c>
      <c r="F64" s="31">
        <v>70490.0</v>
      </c>
      <c r="G64" s="32">
        <f t="shared" si="3"/>
        <v>10070</v>
      </c>
      <c r="H64" s="5" t="str">
        <f t="shared" si="9"/>
        <v>Good</v>
      </c>
      <c r="I64" s="13" t="s">
        <v>85</v>
      </c>
      <c r="J64" s="31">
        <v>74730.0</v>
      </c>
      <c r="K64" s="32">
        <f t="shared" si="5"/>
        <v>10675.71429</v>
      </c>
      <c r="L64" s="5" t="str">
        <f t="shared" si="6"/>
        <v>Good</v>
      </c>
      <c r="M64" s="6"/>
    </row>
    <row r="65" ht="22.5" customHeight="1">
      <c r="A65" s="11" t="s">
        <v>88</v>
      </c>
      <c r="B65" s="31">
        <v>35330.0</v>
      </c>
      <c r="C65" s="32">
        <f t="shared" si="7"/>
        <v>7066</v>
      </c>
      <c r="D65" s="5" t="str">
        <f t="shared" si="8"/>
        <v>Below avg</v>
      </c>
      <c r="E65" s="13" t="s">
        <v>85</v>
      </c>
      <c r="F65" s="31">
        <v>83560.0</v>
      </c>
      <c r="G65" s="32">
        <f t="shared" si="3"/>
        <v>11937.14286</v>
      </c>
      <c r="H65" s="5" t="str">
        <f t="shared" si="9"/>
        <v>Top core</v>
      </c>
      <c r="I65" s="8" t="s">
        <v>87</v>
      </c>
      <c r="J65" s="31">
        <v>37360.0</v>
      </c>
      <c r="K65" s="32">
        <f t="shared" si="5"/>
        <v>5337.142857</v>
      </c>
      <c r="L65" s="5" t="str">
        <f t="shared" si="6"/>
        <v>Low</v>
      </c>
      <c r="M65" s="6"/>
    </row>
    <row r="66" ht="22.5" customHeight="1">
      <c r="A66" s="11" t="s">
        <v>90</v>
      </c>
      <c r="B66" s="31">
        <v>56240.0</v>
      </c>
      <c r="C66" s="32">
        <f t="shared" si="7"/>
        <v>11248</v>
      </c>
      <c r="D66" s="5" t="str">
        <f t="shared" si="8"/>
        <v>Top core</v>
      </c>
      <c r="E66" s="8" t="s">
        <v>87</v>
      </c>
      <c r="F66" s="31">
        <v>66270.0</v>
      </c>
      <c r="G66" s="32">
        <f t="shared" si="3"/>
        <v>9467.142857</v>
      </c>
      <c r="H66" s="5" t="str">
        <f t="shared" si="9"/>
        <v>Good</v>
      </c>
      <c r="I66" s="8" t="s">
        <v>89</v>
      </c>
      <c r="J66" s="31">
        <v>70770.0</v>
      </c>
      <c r="K66" s="32">
        <f t="shared" si="5"/>
        <v>10110</v>
      </c>
      <c r="L66" s="5" t="str">
        <f t="shared" si="6"/>
        <v>Good</v>
      </c>
      <c r="M66" s="6"/>
    </row>
    <row r="67" ht="22.5" customHeight="1">
      <c r="A67" s="11" t="s">
        <v>93</v>
      </c>
      <c r="B67" s="31">
        <v>21180.0</v>
      </c>
      <c r="C67" s="32">
        <f t="shared" si="7"/>
        <v>4236</v>
      </c>
      <c r="D67" s="5" t="str">
        <f t="shared" si="8"/>
        <v>Low</v>
      </c>
      <c r="E67" s="8" t="s">
        <v>91</v>
      </c>
      <c r="F67" s="31">
        <v>83890.0</v>
      </c>
      <c r="G67" s="32">
        <f t="shared" si="3"/>
        <v>11984.28571</v>
      </c>
      <c r="H67" s="5" t="str">
        <f t="shared" si="9"/>
        <v>Top core</v>
      </c>
      <c r="I67" s="8" t="s">
        <v>92</v>
      </c>
      <c r="J67" s="31">
        <v>77210.0</v>
      </c>
      <c r="K67" s="32">
        <f t="shared" si="5"/>
        <v>11030</v>
      </c>
      <c r="L67" s="5" t="str">
        <f t="shared" si="6"/>
        <v>Top core</v>
      </c>
      <c r="M67" s="6"/>
    </row>
    <row r="68" ht="22.5" customHeight="1">
      <c r="A68" s="11" t="s">
        <v>95</v>
      </c>
      <c r="B68" s="31">
        <v>39300.0</v>
      </c>
      <c r="C68" s="32">
        <f t="shared" si="7"/>
        <v>7860</v>
      </c>
      <c r="D68" s="5" t="str">
        <f t="shared" si="8"/>
        <v>Below avg</v>
      </c>
      <c r="E68" s="8" t="s">
        <v>89</v>
      </c>
      <c r="F68" s="31">
        <v>78860.0</v>
      </c>
      <c r="G68" s="32">
        <f t="shared" si="3"/>
        <v>11265.71429</v>
      </c>
      <c r="H68" s="5" t="str">
        <f t="shared" si="9"/>
        <v>Top core</v>
      </c>
      <c r="I68" s="8" t="s">
        <v>94</v>
      </c>
      <c r="J68" s="31">
        <v>61010.0</v>
      </c>
      <c r="K68" s="32">
        <f t="shared" si="5"/>
        <v>8715.714286</v>
      </c>
      <c r="L68" s="5" t="str">
        <f t="shared" si="6"/>
        <v>Average</v>
      </c>
      <c r="M68" s="6"/>
    </row>
    <row r="69" ht="22.5" customHeight="1">
      <c r="A69" s="11" t="s">
        <v>98</v>
      </c>
      <c r="B69" s="31">
        <v>32750.0</v>
      </c>
      <c r="C69" s="32">
        <f t="shared" si="7"/>
        <v>6550</v>
      </c>
      <c r="D69" s="5" t="str">
        <f t="shared" si="8"/>
        <v>Below avg</v>
      </c>
      <c r="E69" s="8" t="s">
        <v>92</v>
      </c>
      <c r="F69" s="31">
        <v>87900.0</v>
      </c>
      <c r="G69" s="32">
        <f t="shared" si="3"/>
        <v>12557.14286</v>
      </c>
      <c r="H69" s="5" t="str">
        <f t="shared" si="9"/>
        <v>Top core</v>
      </c>
      <c r="I69" s="8" t="s">
        <v>97</v>
      </c>
      <c r="J69" s="31">
        <v>49780.0</v>
      </c>
      <c r="K69" s="32">
        <f t="shared" si="5"/>
        <v>7111.428571</v>
      </c>
      <c r="L69" s="5" t="str">
        <f t="shared" si="6"/>
        <v>Below avg</v>
      </c>
      <c r="M69" s="6"/>
    </row>
    <row r="70" ht="22.5" customHeight="1">
      <c r="A70" s="11" t="s">
        <v>100</v>
      </c>
      <c r="B70" s="31">
        <v>35540.0</v>
      </c>
      <c r="C70" s="32">
        <f t="shared" si="7"/>
        <v>7108</v>
      </c>
      <c r="D70" s="5" t="str">
        <f t="shared" si="8"/>
        <v>Below avg</v>
      </c>
      <c r="E70" s="8" t="s">
        <v>94</v>
      </c>
      <c r="F70" s="31">
        <v>47820.0</v>
      </c>
      <c r="G70" s="32">
        <f t="shared" si="3"/>
        <v>6831.428571</v>
      </c>
      <c r="H70" s="5" t="str">
        <f t="shared" si="9"/>
        <v>Below avg</v>
      </c>
      <c r="I70" s="8" t="s">
        <v>99</v>
      </c>
      <c r="J70" s="31">
        <v>48600.0</v>
      </c>
      <c r="K70" s="32">
        <f t="shared" si="5"/>
        <v>6942.857143</v>
      </c>
      <c r="L70" s="5" t="str">
        <f t="shared" si="6"/>
        <v>Below avg</v>
      </c>
      <c r="M70" s="6"/>
    </row>
    <row r="71" ht="22.5" customHeight="1">
      <c r="A71" s="11" t="s">
        <v>102</v>
      </c>
      <c r="B71" s="31">
        <v>27100.0</v>
      </c>
      <c r="C71" s="32">
        <f t="shared" si="7"/>
        <v>5420</v>
      </c>
      <c r="D71" s="5" t="str">
        <f t="shared" si="8"/>
        <v>Low</v>
      </c>
      <c r="E71" s="8" t="s">
        <v>97</v>
      </c>
      <c r="F71" s="31">
        <v>44550.0</v>
      </c>
      <c r="G71" s="32">
        <f t="shared" si="3"/>
        <v>6364.285714</v>
      </c>
      <c r="H71" s="5" t="str">
        <f t="shared" si="9"/>
        <v>Below avg</v>
      </c>
      <c r="I71" s="8" t="s">
        <v>101</v>
      </c>
      <c r="J71" s="31">
        <v>47760.0</v>
      </c>
      <c r="K71" s="32">
        <f t="shared" si="5"/>
        <v>6822.857143</v>
      </c>
      <c r="L71" s="5" t="str">
        <f t="shared" si="6"/>
        <v>Below avg</v>
      </c>
      <c r="M71" s="6"/>
    </row>
    <row r="72" ht="22.5" customHeight="1">
      <c r="A72" s="11" t="s">
        <v>104</v>
      </c>
      <c r="B72" s="31">
        <v>61300.0</v>
      </c>
      <c r="C72" s="32">
        <f t="shared" si="7"/>
        <v>12260</v>
      </c>
      <c r="D72" s="5" t="str">
        <f t="shared" si="8"/>
        <v>Top core</v>
      </c>
      <c r="E72" s="8" t="s">
        <v>99</v>
      </c>
      <c r="F72" s="31">
        <v>41810.0</v>
      </c>
      <c r="G72" s="32">
        <f t="shared" si="3"/>
        <v>5972.857143</v>
      </c>
      <c r="H72" s="5" t="str">
        <f t="shared" si="9"/>
        <v>Low</v>
      </c>
      <c r="I72" s="8" t="s">
        <v>103</v>
      </c>
      <c r="J72" s="31">
        <v>41010.0</v>
      </c>
      <c r="K72" s="32">
        <f t="shared" si="5"/>
        <v>5858.571429</v>
      </c>
      <c r="L72" s="5" t="str">
        <f t="shared" si="6"/>
        <v>Low</v>
      </c>
      <c r="M72" s="6"/>
    </row>
    <row r="73" ht="22.5" customHeight="1">
      <c r="A73" s="11" t="s">
        <v>106</v>
      </c>
      <c r="B73" s="31">
        <v>22160.0</v>
      </c>
      <c r="C73" s="32">
        <f t="shared" si="7"/>
        <v>4432</v>
      </c>
      <c r="D73" s="5" t="str">
        <f t="shared" si="8"/>
        <v>Low</v>
      </c>
      <c r="E73" s="8" t="s">
        <v>101</v>
      </c>
      <c r="F73" s="31">
        <v>46880.0</v>
      </c>
      <c r="G73" s="32">
        <f t="shared" si="3"/>
        <v>6697.142857</v>
      </c>
      <c r="H73" s="5" t="str">
        <f t="shared" si="9"/>
        <v>Below avg</v>
      </c>
      <c r="I73" s="8" t="s">
        <v>105</v>
      </c>
      <c r="J73" s="31">
        <v>45400.0</v>
      </c>
      <c r="K73" s="32">
        <f t="shared" si="5"/>
        <v>6485.714286</v>
      </c>
      <c r="L73" s="5" t="str">
        <f t="shared" si="6"/>
        <v>Below avg</v>
      </c>
      <c r="M73" s="6"/>
    </row>
    <row r="74" ht="22.5" customHeight="1">
      <c r="A74" s="11" t="s">
        <v>108</v>
      </c>
      <c r="B74" s="31">
        <v>26560.0</v>
      </c>
      <c r="C74" s="32">
        <f t="shared" si="7"/>
        <v>5312</v>
      </c>
      <c r="D74" s="5" t="str">
        <f t="shared" si="8"/>
        <v>Low</v>
      </c>
      <c r="E74" s="8" t="s">
        <v>103</v>
      </c>
      <c r="F74" s="31">
        <v>21630.0</v>
      </c>
      <c r="G74" s="32">
        <f t="shared" si="3"/>
        <v>3090</v>
      </c>
      <c r="H74" s="5" t="str">
        <f t="shared" si="9"/>
        <v>Low</v>
      </c>
      <c r="I74" s="8" t="s">
        <v>107</v>
      </c>
      <c r="J74" s="31">
        <v>40030.0</v>
      </c>
      <c r="K74" s="32">
        <f t="shared" si="5"/>
        <v>5718.571429</v>
      </c>
      <c r="L74" s="5" t="str">
        <f t="shared" si="6"/>
        <v>Low</v>
      </c>
      <c r="M74" s="6"/>
    </row>
    <row r="75" ht="22.5" customHeight="1">
      <c r="A75" s="11" t="s">
        <v>110</v>
      </c>
      <c r="B75" s="31">
        <v>35910.0</v>
      </c>
      <c r="C75" s="32">
        <f t="shared" si="7"/>
        <v>7182</v>
      </c>
      <c r="D75" s="5" t="str">
        <f t="shared" si="8"/>
        <v>Below avg</v>
      </c>
      <c r="E75" s="8" t="s">
        <v>105</v>
      </c>
      <c r="F75" s="31">
        <v>50160.0</v>
      </c>
      <c r="G75" s="32">
        <f t="shared" si="3"/>
        <v>7165.714286</v>
      </c>
      <c r="H75" s="5" t="str">
        <f t="shared" si="9"/>
        <v>Below avg</v>
      </c>
      <c r="I75" s="8" t="s">
        <v>109</v>
      </c>
      <c r="J75" s="31">
        <v>77090.0</v>
      </c>
      <c r="K75" s="32">
        <f t="shared" si="5"/>
        <v>11012.85714</v>
      </c>
      <c r="L75" s="5" t="str">
        <f t="shared" si="6"/>
        <v>Top core</v>
      </c>
      <c r="M75" s="6"/>
    </row>
    <row r="76" ht="22.5" customHeight="1">
      <c r="A76" s="11" t="s">
        <v>112</v>
      </c>
      <c r="B76" s="31">
        <v>42110.0</v>
      </c>
      <c r="C76" s="32">
        <f t="shared" si="7"/>
        <v>8422</v>
      </c>
      <c r="D76" s="5" t="str">
        <f t="shared" si="8"/>
        <v>Average</v>
      </c>
      <c r="E76" s="8" t="s">
        <v>107</v>
      </c>
      <c r="F76" s="31">
        <v>47480.0</v>
      </c>
      <c r="G76" s="32">
        <f t="shared" si="3"/>
        <v>6782.857143</v>
      </c>
      <c r="H76" s="5" t="str">
        <f t="shared" si="9"/>
        <v>Below avg</v>
      </c>
      <c r="I76" s="8" t="s">
        <v>111</v>
      </c>
      <c r="J76" s="31">
        <v>85570.0</v>
      </c>
      <c r="K76" s="32">
        <f t="shared" si="5"/>
        <v>12224.28571</v>
      </c>
      <c r="L76" s="5" t="str">
        <f t="shared" si="6"/>
        <v>Top core</v>
      </c>
      <c r="M76" s="6"/>
    </row>
    <row r="77" ht="22.5" customHeight="1">
      <c r="A77" s="11" t="s">
        <v>114</v>
      </c>
      <c r="B77" s="31">
        <v>26850.0</v>
      </c>
      <c r="C77" s="32">
        <f t="shared" si="7"/>
        <v>5370</v>
      </c>
      <c r="D77" s="5" t="str">
        <f t="shared" si="8"/>
        <v>Low</v>
      </c>
      <c r="E77" s="23" t="s">
        <v>78</v>
      </c>
      <c r="F77" s="31">
        <v>12470.0</v>
      </c>
      <c r="G77" s="32">
        <f t="shared" si="3"/>
        <v>1781.428571</v>
      </c>
      <c r="H77" s="5" t="str">
        <f t="shared" si="9"/>
        <v>Low</v>
      </c>
      <c r="I77" s="8" t="s">
        <v>113</v>
      </c>
      <c r="J77" s="31">
        <v>50580.0</v>
      </c>
      <c r="K77" s="32">
        <f t="shared" si="5"/>
        <v>7225.714286</v>
      </c>
      <c r="L77" s="5" t="str">
        <f t="shared" si="6"/>
        <v>Below avg</v>
      </c>
      <c r="M77" s="6"/>
    </row>
    <row r="78" ht="22.5" customHeight="1">
      <c r="A78" s="11" t="s">
        <v>116</v>
      </c>
      <c r="B78" s="31">
        <v>35140.0</v>
      </c>
      <c r="C78" s="32">
        <f t="shared" si="7"/>
        <v>7028</v>
      </c>
      <c r="D78" s="5" t="str">
        <f t="shared" si="8"/>
        <v>Below avg</v>
      </c>
      <c r="E78" s="23" t="s">
        <v>79</v>
      </c>
      <c r="F78" s="31">
        <v>87540.0</v>
      </c>
      <c r="G78" s="32">
        <f t="shared" si="3"/>
        <v>12505.71429</v>
      </c>
      <c r="H78" s="5" t="str">
        <f t="shared" si="9"/>
        <v>Top core</v>
      </c>
      <c r="I78" s="8" t="s">
        <v>115</v>
      </c>
      <c r="J78" s="31">
        <v>71720.0</v>
      </c>
      <c r="K78" s="32">
        <f t="shared" si="5"/>
        <v>10245.71429</v>
      </c>
      <c r="L78" s="5" t="str">
        <f t="shared" si="6"/>
        <v>Good</v>
      </c>
      <c r="M78" s="6"/>
    </row>
    <row r="79" ht="22.5" customHeight="1">
      <c r="A79" s="11" t="s">
        <v>117</v>
      </c>
      <c r="B79" s="31">
        <v>38090.0</v>
      </c>
      <c r="C79" s="32">
        <f t="shared" si="7"/>
        <v>7618</v>
      </c>
      <c r="D79" s="5" t="str">
        <f t="shared" si="8"/>
        <v>Below avg</v>
      </c>
      <c r="E79" s="23" t="s">
        <v>82</v>
      </c>
      <c r="F79" s="31">
        <v>54210.0</v>
      </c>
      <c r="G79" s="32">
        <f t="shared" si="3"/>
        <v>7744.285714</v>
      </c>
      <c r="H79" s="5" t="str">
        <f t="shared" si="9"/>
        <v>Below avg</v>
      </c>
      <c r="I79" s="8" t="s">
        <v>46</v>
      </c>
      <c r="J79" s="31">
        <v>64370.0</v>
      </c>
      <c r="K79" s="32">
        <f t="shared" si="5"/>
        <v>9195.714286</v>
      </c>
      <c r="L79" s="5" t="str">
        <f t="shared" si="6"/>
        <v>Good</v>
      </c>
      <c r="M79" s="6"/>
    </row>
    <row r="80" ht="22.5" customHeight="1">
      <c r="A80" s="11" t="s">
        <v>118</v>
      </c>
      <c r="B80" s="31">
        <v>4250.0</v>
      </c>
      <c r="C80" s="32">
        <f t="shared" si="7"/>
        <v>850</v>
      </c>
      <c r="D80" s="5" t="str">
        <f t="shared" si="8"/>
        <v>Low</v>
      </c>
      <c r="E80" s="23" t="s">
        <v>84</v>
      </c>
      <c r="F80" s="31">
        <v>53680.0</v>
      </c>
      <c r="G80" s="32">
        <f t="shared" si="3"/>
        <v>7668.571429</v>
      </c>
      <c r="H80" s="5" t="str">
        <f t="shared" si="9"/>
        <v>Below avg</v>
      </c>
      <c r="I80" s="10" t="s">
        <v>132</v>
      </c>
      <c r="J80" s="9">
        <v>29110.0</v>
      </c>
      <c r="K80" s="6">
        <f>J80/4</f>
        <v>7277.5</v>
      </c>
      <c r="L80" s="5" t="str">
        <f t="shared" si="6"/>
        <v>Below avg</v>
      </c>
      <c r="M80" s="6"/>
    </row>
    <row r="81" ht="22.5" customHeight="1">
      <c r="A81" s="11" t="s">
        <v>119</v>
      </c>
      <c r="B81" s="31">
        <v>19160.0</v>
      </c>
      <c r="C81" s="32">
        <f t="shared" si="7"/>
        <v>3832</v>
      </c>
      <c r="D81" s="5" t="str">
        <f t="shared" si="8"/>
        <v>Low</v>
      </c>
      <c r="E81" s="23" t="s">
        <v>86</v>
      </c>
      <c r="F81" s="31">
        <v>41640.0</v>
      </c>
      <c r="G81" s="32">
        <f t="shared" si="3"/>
        <v>5948.571429</v>
      </c>
      <c r="H81" s="5" t="str">
        <f t="shared" si="9"/>
        <v>Low</v>
      </c>
      <c r="I81" s="23" t="s">
        <v>78</v>
      </c>
      <c r="J81" s="31">
        <v>12470.0</v>
      </c>
      <c r="K81" s="32">
        <f t="shared" ref="K81:K99" si="10">J81/7</f>
        <v>1781.428571</v>
      </c>
      <c r="L81" s="5" t="str">
        <f t="shared" si="6"/>
        <v>Low</v>
      </c>
      <c r="M81" s="6"/>
    </row>
    <row r="82" ht="22.5" customHeight="1">
      <c r="A82" s="11" t="s">
        <v>120</v>
      </c>
      <c r="B82" s="31">
        <v>26490.0</v>
      </c>
      <c r="C82" s="32">
        <f t="shared" si="7"/>
        <v>5298</v>
      </c>
      <c r="D82" s="5" t="str">
        <f t="shared" si="8"/>
        <v>Low</v>
      </c>
      <c r="E82" s="23" t="s">
        <v>88</v>
      </c>
      <c r="F82" s="31">
        <v>19040.0</v>
      </c>
      <c r="G82" s="32">
        <f t="shared" si="3"/>
        <v>2720</v>
      </c>
      <c r="H82" s="5" t="str">
        <f t="shared" si="9"/>
        <v>Low</v>
      </c>
      <c r="I82" s="23" t="s">
        <v>79</v>
      </c>
      <c r="J82" s="31">
        <v>83920.0</v>
      </c>
      <c r="K82" s="32">
        <f t="shared" si="10"/>
        <v>11988.57143</v>
      </c>
      <c r="L82" s="5" t="str">
        <f t="shared" si="6"/>
        <v>Top core</v>
      </c>
      <c r="M82" s="6"/>
    </row>
    <row r="83" ht="22.5" customHeight="1">
      <c r="A83" s="11" t="s">
        <v>94</v>
      </c>
      <c r="B83" s="31">
        <v>23760.0</v>
      </c>
      <c r="C83" s="32">
        <f t="shared" si="7"/>
        <v>4752</v>
      </c>
      <c r="D83" s="5" t="str">
        <f t="shared" si="8"/>
        <v>Low</v>
      </c>
      <c r="E83" s="23" t="s">
        <v>90</v>
      </c>
      <c r="F83" s="31">
        <v>71440.0</v>
      </c>
      <c r="G83" s="32">
        <f t="shared" si="3"/>
        <v>10205.71429</v>
      </c>
      <c r="H83" s="5" t="str">
        <f t="shared" si="9"/>
        <v>Good</v>
      </c>
      <c r="I83" s="23" t="s">
        <v>82</v>
      </c>
      <c r="J83" s="31">
        <v>32060.0</v>
      </c>
      <c r="K83" s="32">
        <f t="shared" si="10"/>
        <v>4580</v>
      </c>
      <c r="L83" s="5" t="str">
        <f t="shared" si="6"/>
        <v>Low</v>
      </c>
      <c r="M83" s="6"/>
    </row>
    <row r="84" ht="22.5" customHeight="1">
      <c r="A84" s="11" t="s">
        <v>83</v>
      </c>
      <c r="B84" s="31">
        <v>39990.0</v>
      </c>
      <c r="C84" s="32">
        <f t="shared" si="7"/>
        <v>7998</v>
      </c>
      <c r="D84" s="5" t="str">
        <f t="shared" si="8"/>
        <v>Below avg</v>
      </c>
      <c r="E84" s="23" t="s">
        <v>93</v>
      </c>
      <c r="F84" s="31">
        <v>29300.0</v>
      </c>
      <c r="G84" s="32">
        <f t="shared" si="3"/>
        <v>4185.714286</v>
      </c>
      <c r="H84" s="5" t="str">
        <f t="shared" si="9"/>
        <v>Low</v>
      </c>
      <c r="I84" s="23" t="s">
        <v>84</v>
      </c>
      <c r="J84" s="31">
        <v>50920.0</v>
      </c>
      <c r="K84" s="32">
        <f t="shared" si="10"/>
        <v>7274.285714</v>
      </c>
      <c r="L84" s="5" t="str">
        <f t="shared" si="6"/>
        <v>Below avg</v>
      </c>
      <c r="M84" s="6"/>
    </row>
    <row r="85" ht="22.5" customHeight="1">
      <c r="A85" s="11" t="s">
        <v>121</v>
      </c>
      <c r="B85" s="31">
        <v>45890.0</v>
      </c>
      <c r="C85" s="32">
        <f t="shared" si="7"/>
        <v>9178</v>
      </c>
      <c r="D85" s="5" t="str">
        <f t="shared" si="8"/>
        <v>Good</v>
      </c>
      <c r="E85" s="23" t="s">
        <v>98</v>
      </c>
      <c r="F85" s="31">
        <v>37990.0</v>
      </c>
      <c r="G85" s="32">
        <f t="shared" si="3"/>
        <v>5427.142857</v>
      </c>
      <c r="H85" s="5" t="str">
        <f t="shared" si="9"/>
        <v>Low</v>
      </c>
      <c r="I85" s="23" t="s">
        <v>86</v>
      </c>
      <c r="J85" s="31">
        <v>60990.0</v>
      </c>
      <c r="K85" s="32">
        <f t="shared" si="10"/>
        <v>8712.857143</v>
      </c>
      <c r="L85" s="5" t="str">
        <f t="shared" si="6"/>
        <v>Average</v>
      </c>
      <c r="M85" s="6"/>
    </row>
    <row r="86" ht="22.5" customHeight="1">
      <c r="A86" s="11" t="s">
        <v>91</v>
      </c>
      <c r="B86" s="31">
        <v>56150.0</v>
      </c>
      <c r="C86" s="32">
        <f t="shared" si="7"/>
        <v>11230</v>
      </c>
      <c r="D86" s="5" t="str">
        <f t="shared" si="8"/>
        <v>Top core</v>
      </c>
      <c r="E86" s="23" t="s">
        <v>100</v>
      </c>
      <c r="F86" s="31">
        <v>31570.0</v>
      </c>
      <c r="G86" s="32">
        <f t="shared" si="3"/>
        <v>4510</v>
      </c>
      <c r="H86" s="5" t="str">
        <f t="shared" si="9"/>
        <v>Low</v>
      </c>
      <c r="I86" s="23" t="s">
        <v>88</v>
      </c>
      <c r="J86" s="31">
        <v>15300.0</v>
      </c>
      <c r="K86" s="32">
        <f t="shared" si="10"/>
        <v>2185.714286</v>
      </c>
      <c r="L86" s="5" t="str">
        <f t="shared" si="6"/>
        <v>Low</v>
      </c>
      <c r="M86" s="6"/>
    </row>
    <row r="87" ht="22.5" customHeight="1">
      <c r="A87" s="11" t="s">
        <v>122</v>
      </c>
      <c r="B87" s="31">
        <v>24200.0</v>
      </c>
      <c r="C87" s="32">
        <f t="shared" si="7"/>
        <v>4840</v>
      </c>
      <c r="D87" s="5" t="str">
        <f t="shared" si="8"/>
        <v>Low</v>
      </c>
      <c r="E87" s="23" t="s">
        <v>104</v>
      </c>
      <c r="F87" s="31">
        <v>96880.0</v>
      </c>
      <c r="G87" s="32">
        <f t="shared" si="3"/>
        <v>13840</v>
      </c>
      <c r="H87" s="5" t="str">
        <f t="shared" si="9"/>
        <v>Top core</v>
      </c>
      <c r="I87" s="23" t="s">
        <v>90</v>
      </c>
      <c r="J87" s="31">
        <v>74360.0</v>
      </c>
      <c r="K87" s="32">
        <f t="shared" si="10"/>
        <v>10622.85714</v>
      </c>
      <c r="L87" s="5" t="str">
        <f t="shared" si="6"/>
        <v>Good</v>
      </c>
      <c r="M87" s="6"/>
    </row>
    <row r="88" ht="22.5" customHeight="1">
      <c r="A88" s="11" t="s">
        <v>99</v>
      </c>
      <c r="B88" s="31">
        <v>30910.0</v>
      </c>
      <c r="C88" s="32">
        <f>B88/3</f>
        <v>10303.33333</v>
      </c>
      <c r="D88" s="5" t="str">
        <f t="shared" si="8"/>
        <v>Good</v>
      </c>
      <c r="E88" s="23" t="s">
        <v>106</v>
      </c>
      <c r="F88" s="31">
        <v>30850.0</v>
      </c>
      <c r="G88" s="32">
        <f t="shared" si="3"/>
        <v>4407.142857</v>
      </c>
      <c r="H88" s="5" t="str">
        <f t="shared" si="9"/>
        <v>Low</v>
      </c>
      <c r="I88" s="23" t="s">
        <v>93</v>
      </c>
      <c r="J88" s="31">
        <v>35490.0</v>
      </c>
      <c r="K88" s="32">
        <f t="shared" si="10"/>
        <v>5070</v>
      </c>
      <c r="L88" s="5" t="str">
        <f t="shared" si="6"/>
        <v>Low</v>
      </c>
      <c r="M88" s="6"/>
    </row>
    <row r="89" ht="22.5" customHeight="1">
      <c r="A89" s="11" t="s">
        <v>123</v>
      </c>
      <c r="B89" s="31">
        <v>46360.0</v>
      </c>
      <c r="C89" s="32">
        <f>B89/5</f>
        <v>9272</v>
      </c>
      <c r="D89" s="5" t="str">
        <f t="shared" si="8"/>
        <v>Good</v>
      </c>
      <c r="E89" s="23" t="s">
        <v>110</v>
      </c>
      <c r="F89" s="31">
        <v>22620.0</v>
      </c>
      <c r="G89" s="32">
        <f t="shared" si="3"/>
        <v>3231.428571</v>
      </c>
      <c r="H89" s="5" t="str">
        <f t="shared" si="9"/>
        <v>Low</v>
      </c>
      <c r="I89" s="23" t="s">
        <v>98</v>
      </c>
      <c r="J89" s="31">
        <v>40100.0</v>
      </c>
      <c r="K89" s="32">
        <f t="shared" si="10"/>
        <v>5728.571429</v>
      </c>
      <c r="L89" s="5" t="str">
        <f t="shared" si="6"/>
        <v>Low</v>
      </c>
      <c r="M89" s="6"/>
    </row>
    <row r="90" ht="22.5" customHeight="1">
      <c r="A90" s="11" t="s">
        <v>105</v>
      </c>
      <c r="B90" s="31">
        <v>12880.0</v>
      </c>
      <c r="C90" s="32">
        <f>B90/2</f>
        <v>6440</v>
      </c>
      <c r="D90" s="5" t="str">
        <f t="shared" si="8"/>
        <v>Below avg</v>
      </c>
      <c r="E90" s="23" t="s">
        <v>112</v>
      </c>
      <c r="F90" s="31">
        <v>42920.0</v>
      </c>
      <c r="G90" s="32">
        <f t="shared" si="3"/>
        <v>6131.428571</v>
      </c>
      <c r="H90" s="5" t="str">
        <f t="shared" si="9"/>
        <v>Below avg</v>
      </c>
      <c r="I90" s="23" t="s">
        <v>100</v>
      </c>
      <c r="J90" s="31">
        <v>20750.0</v>
      </c>
      <c r="K90" s="32">
        <f t="shared" si="10"/>
        <v>2964.285714</v>
      </c>
      <c r="L90" s="5" t="str">
        <f t="shared" si="6"/>
        <v>Low</v>
      </c>
      <c r="M90" s="6"/>
    </row>
    <row r="91" ht="22.5" customHeight="1">
      <c r="A91" s="11" t="s">
        <v>89</v>
      </c>
      <c r="B91" s="31">
        <v>47760.0</v>
      </c>
      <c r="C91" s="32">
        <f t="shared" ref="C91:C92" si="11">B91/5</f>
        <v>9552</v>
      </c>
      <c r="D91" s="5" t="str">
        <f t="shared" si="8"/>
        <v>Good</v>
      </c>
      <c r="E91" s="23" t="s">
        <v>124</v>
      </c>
      <c r="F91" s="31">
        <v>30730.0</v>
      </c>
      <c r="G91" s="32">
        <f t="shared" si="3"/>
        <v>4390</v>
      </c>
      <c r="H91" s="5" t="str">
        <f t="shared" si="9"/>
        <v>Low</v>
      </c>
      <c r="I91" s="23" t="s">
        <v>104</v>
      </c>
      <c r="J91" s="31">
        <v>84520.0</v>
      </c>
      <c r="K91" s="32">
        <f t="shared" si="10"/>
        <v>12074.28571</v>
      </c>
      <c r="L91" s="5" t="str">
        <f t="shared" si="6"/>
        <v>Top core</v>
      </c>
      <c r="M91" s="6"/>
    </row>
    <row r="92" ht="22.5" customHeight="1">
      <c r="A92" s="11" t="s">
        <v>125</v>
      </c>
      <c r="B92" s="31">
        <v>37630.0</v>
      </c>
      <c r="C92" s="32">
        <f t="shared" si="11"/>
        <v>7526</v>
      </c>
      <c r="D92" s="5" t="str">
        <f t="shared" si="8"/>
        <v>Below avg</v>
      </c>
      <c r="E92" s="23" t="s">
        <v>122</v>
      </c>
      <c r="F92" s="31">
        <v>51550.0</v>
      </c>
      <c r="G92" s="32">
        <f t="shared" si="3"/>
        <v>7364.285714</v>
      </c>
      <c r="H92" s="5" t="str">
        <f t="shared" si="9"/>
        <v>Below avg</v>
      </c>
      <c r="I92" s="23" t="s">
        <v>106</v>
      </c>
      <c r="J92" s="31">
        <v>32520.0</v>
      </c>
      <c r="K92" s="32">
        <f t="shared" si="10"/>
        <v>4645.714286</v>
      </c>
      <c r="L92" s="5" t="str">
        <f t="shared" si="6"/>
        <v>Low</v>
      </c>
      <c r="M92" s="6"/>
    </row>
    <row r="93" ht="22.5" customHeight="1">
      <c r="A93" s="11" t="s">
        <v>103</v>
      </c>
      <c r="B93" s="31">
        <v>11270.0</v>
      </c>
      <c r="C93" s="32">
        <f>B93/2</f>
        <v>5635</v>
      </c>
      <c r="D93" s="5" t="str">
        <f t="shared" si="8"/>
        <v>Low</v>
      </c>
      <c r="E93" s="23" t="s">
        <v>126</v>
      </c>
      <c r="F93" s="31">
        <v>18240.0</v>
      </c>
      <c r="G93" s="32">
        <f t="shared" si="3"/>
        <v>2605.714286</v>
      </c>
      <c r="H93" s="5" t="str">
        <f t="shared" si="9"/>
        <v>Low</v>
      </c>
      <c r="I93" s="23" t="s">
        <v>110</v>
      </c>
      <c r="J93" s="31">
        <v>33670.0</v>
      </c>
      <c r="K93" s="32">
        <f t="shared" si="10"/>
        <v>4810</v>
      </c>
      <c r="L93" s="5" t="str">
        <f t="shared" si="6"/>
        <v>Low</v>
      </c>
      <c r="M93" s="6"/>
    </row>
    <row r="94" ht="22.5" customHeight="1">
      <c r="A94" s="11" t="s">
        <v>87</v>
      </c>
      <c r="B94" s="31">
        <v>34270.0</v>
      </c>
      <c r="C94" s="32">
        <f>B94/3</f>
        <v>11423.33333</v>
      </c>
      <c r="D94" s="5" t="str">
        <f t="shared" si="8"/>
        <v>Top core</v>
      </c>
      <c r="E94" s="23" t="s">
        <v>114</v>
      </c>
      <c r="F94" s="31">
        <v>28420.0</v>
      </c>
      <c r="G94" s="32">
        <f t="shared" si="3"/>
        <v>4060</v>
      </c>
      <c r="H94" s="5" t="str">
        <f t="shared" si="9"/>
        <v>Low</v>
      </c>
      <c r="I94" s="23" t="s">
        <v>112</v>
      </c>
      <c r="J94" s="31">
        <v>47610.0</v>
      </c>
      <c r="K94" s="32">
        <f t="shared" si="10"/>
        <v>6801.428571</v>
      </c>
      <c r="L94" s="5" t="str">
        <f t="shared" si="6"/>
        <v>Below avg</v>
      </c>
      <c r="M94" s="6"/>
    </row>
    <row r="95" ht="22.5" customHeight="1">
      <c r="A95" s="11" t="s">
        <v>127</v>
      </c>
      <c r="B95" s="31">
        <v>25780.0</v>
      </c>
      <c r="C95" s="32">
        <f t="shared" ref="C95:C98" si="12">B95/5</f>
        <v>5156</v>
      </c>
      <c r="D95" s="5" t="str">
        <f t="shared" si="8"/>
        <v>Low</v>
      </c>
      <c r="E95" s="11" t="s">
        <v>127</v>
      </c>
      <c r="F95" s="31">
        <v>42000.0</v>
      </c>
      <c r="G95" s="32">
        <f t="shared" si="3"/>
        <v>6000</v>
      </c>
      <c r="H95" s="5" t="str">
        <f t="shared" si="9"/>
        <v>Below avg</v>
      </c>
      <c r="I95" s="23" t="s">
        <v>124</v>
      </c>
      <c r="J95" s="31">
        <v>33840.0</v>
      </c>
      <c r="K95" s="32">
        <f t="shared" si="10"/>
        <v>4834.285714</v>
      </c>
      <c r="L95" s="5" t="str">
        <f t="shared" si="6"/>
        <v>Low</v>
      </c>
      <c r="M95" s="6"/>
    </row>
    <row r="96" ht="22.5" customHeight="1">
      <c r="A96" s="11" t="s">
        <v>126</v>
      </c>
      <c r="B96" s="31">
        <v>37870.0</v>
      </c>
      <c r="C96" s="32">
        <f t="shared" si="12"/>
        <v>7574</v>
      </c>
      <c r="D96" s="5" t="str">
        <f t="shared" si="8"/>
        <v>Below avg</v>
      </c>
      <c r="E96" s="11" t="s">
        <v>109</v>
      </c>
      <c r="F96" s="31">
        <v>38260.0</v>
      </c>
      <c r="G96" s="32">
        <f>F96/4</f>
        <v>9565</v>
      </c>
      <c r="H96" s="5" t="str">
        <f t="shared" si="9"/>
        <v>Good</v>
      </c>
      <c r="I96" s="23" t="s">
        <v>122</v>
      </c>
      <c r="J96" s="31">
        <v>65330.0</v>
      </c>
      <c r="K96" s="32">
        <f t="shared" si="10"/>
        <v>9332.857143</v>
      </c>
      <c r="L96" s="5" t="str">
        <f t="shared" si="6"/>
        <v>Good</v>
      </c>
      <c r="M96" s="6"/>
    </row>
    <row r="97" ht="22.5" customHeight="1">
      <c r="A97" s="11" t="s">
        <v>128</v>
      </c>
      <c r="B97" s="31">
        <v>5020.0</v>
      </c>
      <c r="C97" s="32">
        <f t="shared" si="12"/>
        <v>1004</v>
      </c>
      <c r="D97" s="5" t="str">
        <f t="shared" si="8"/>
        <v>Low</v>
      </c>
      <c r="E97" s="25" t="s">
        <v>111</v>
      </c>
      <c r="F97" s="31">
        <v>69400.0</v>
      </c>
      <c r="G97" s="32">
        <f>F97/6</f>
        <v>11566.66667</v>
      </c>
      <c r="H97" s="5" t="str">
        <f t="shared" si="9"/>
        <v>Top core</v>
      </c>
      <c r="I97" s="23" t="s">
        <v>126</v>
      </c>
      <c r="J97" s="31">
        <v>19320.0</v>
      </c>
      <c r="K97" s="32">
        <f t="shared" si="10"/>
        <v>2760</v>
      </c>
      <c r="L97" s="5" t="str">
        <f t="shared" si="6"/>
        <v>Low</v>
      </c>
      <c r="M97" s="6"/>
    </row>
    <row r="98" ht="22.5" customHeight="1">
      <c r="A98" s="11" t="s">
        <v>124</v>
      </c>
      <c r="B98" s="31">
        <v>23860.0</v>
      </c>
      <c r="C98" s="32">
        <f t="shared" si="12"/>
        <v>4772</v>
      </c>
      <c r="D98" s="5" t="str">
        <f t="shared" si="8"/>
        <v>Low</v>
      </c>
      <c r="E98" s="11" t="s">
        <v>113</v>
      </c>
      <c r="F98" s="31">
        <v>10060.0</v>
      </c>
      <c r="G98" s="32">
        <f>F98/2</f>
        <v>5030</v>
      </c>
      <c r="H98" s="5" t="str">
        <f t="shared" si="9"/>
        <v>Low</v>
      </c>
      <c r="I98" s="23" t="s">
        <v>114</v>
      </c>
      <c r="J98" s="31">
        <v>41680.0</v>
      </c>
      <c r="K98" s="32">
        <f t="shared" si="10"/>
        <v>5954.285714</v>
      </c>
      <c r="L98" s="5" t="str">
        <f t="shared" si="6"/>
        <v>Low</v>
      </c>
      <c r="M98" s="6"/>
    </row>
    <row r="99" ht="22.5" customHeight="1">
      <c r="A99" s="11" t="s">
        <v>97</v>
      </c>
      <c r="B99" s="31">
        <v>11440.0</v>
      </c>
      <c r="C99" s="32">
        <f>B99/3</f>
        <v>3813.333333</v>
      </c>
      <c r="D99" s="5" t="str">
        <f t="shared" si="8"/>
        <v>Low</v>
      </c>
      <c r="E99" s="11" t="s">
        <v>115</v>
      </c>
      <c r="F99" s="31">
        <v>69790.0</v>
      </c>
      <c r="G99" s="32">
        <f t="shared" ref="G99:G100" si="13">F99/7</f>
        <v>9970</v>
      </c>
      <c r="H99" s="5" t="str">
        <f t="shared" si="9"/>
        <v>Good</v>
      </c>
      <c r="I99" s="23" t="s">
        <v>127</v>
      </c>
      <c r="J99" s="31">
        <v>34530.0</v>
      </c>
      <c r="K99" s="32">
        <f t="shared" si="10"/>
        <v>4932.857143</v>
      </c>
      <c r="L99" s="5" t="str">
        <f t="shared" si="6"/>
        <v>Low</v>
      </c>
      <c r="M99" s="6"/>
    </row>
    <row r="100" ht="22.5" customHeight="1">
      <c r="A100" s="11" t="s">
        <v>81</v>
      </c>
      <c r="B100" s="31">
        <v>5100.0</v>
      </c>
      <c r="C100" s="32">
        <f t="shared" ref="C100:C102" si="14">B100/1</f>
        <v>5100</v>
      </c>
      <c r="D100" s="5" t="str">
        <f t="shared" si="8"/>
        <v>Low</v>
      </c>
      <c r="E100" s="11" t="s">
        <v>46</v>
      </c>
      <c r="F100" s="31">
        <v>59720.0</v>
      </c>
      <c r="G100" s="32">
        <f t="shared" si="13"/>
        <v>8531.428571</v>
      </c>
      <c r="H100" s="5" t="str">
        <f t="shared" si="9"/>
        <v>Average</v>
      </c>
      <c r="I100" s="26" t="s">
        <v>146</v>
      </c>
      <c r="J100" s="9">
        <v>13640.0</v>
      </c>
      <c r="K100" s="6">
        <f>J100/2</f>
        <v>6820</v>
      </c>
      <c r="L100" s="5" t="str">
        <f t="shared" si="6"/>
        <v>Below avg</v>
      </c>
      <c r="M100" s="6"/>
    </row>
    <row r="101" ht="22.5" customHeight="1">
      <c r="A101" s="11" t="s">
        <v>133</v>
      </c>
      <c r="B101" s="31">
        <v>8860.0</v>
      </c>
      <c r="C101" s="32">
        <f t="shared" si="14"/>
        <v>8860</v>
      </c>
      <c r="D101" s="5" t="str">
        <f t="shared" si="8"/>
        <v>Average</v>
      </c>
      <c r="F101" s="31"/>
      <c r="G101" s="32"/>
      <c r="H101" s="5"/>
      <c r="I101" s="26" t="s">
        <v>131</v>
      </c>
      <c r="J101" s="9">
        <v>3620.0</v>
      </c>
      <c r="K101" s="6">
        <f>J101/1</f>
        <v>3620</v>
      </c>
      <c r="L101" s="5" t="str">
        <f t="shared" si="6"/>
        <v>Low</v>
      </c>
      <c r="M101" s="6"/>
    </row>
    <row r="102" ht="22.5" customHeight="1">
      <c r="A102" s="11"/>
      <c r="B102" s="31"/>
      <c r="C102" s="32">
        <f t="shared" si="14"/>
        <v>0</v>
      </c>
      <c r="D102" s="5" t="str">
        <f t="shared" si="8"/>
        <v>Low</v>
      </c>
      <c r="F102" s="31"/>
      <c r="G102" s="32"/>
      <c r="H102" s="5"/>
      <c r="M102" s="28"/>
    </row>
  </sheetData>
  <conditionalFormatting sqref="D1:D57 H1:H57 L1:L102 D59:D102 H59:H102">
    <cfRule type="cellIs" dxfId="10" priority="1" operator="equal">
      <formula>"Top core"</formula>
    </cfRule>
  </conditionalFormatting>
  <conditionalFormatting sqref="D1:D57 H1:H57 L1:L102 D59:D102 H59:H102">
    <cfRule type="cellIs" dxfId="11" priority="2" operator="equal">
      <formula>"Good"</formula>
    </cfRule>
  </conditionalFormatting>
  <conditionalFormatting sqref="D1:D57 H1:H57 L1:L102 D59:D102 H59:H102">
    <cfRule type="cellIs" dxfId="6" priority="3" operator="equal">
      <formula>"Average"</formula>
    </cfRule>
  </conditionalFormatting>
  <conditionalFormatting sqref="D1:D57 H1:H57 L1:L102 D59:D102 H59:H102">
    <cfRule type="cellIs" dxfId="8" priority="4" operator="equal">
      <formula>"Below avg"</formula>
    </cfRule>
  </conditionalFormatting>
  <conditionalFormatting sqref="D1:D57 H1:H57 L1:L102 D59:D102 H59:H102">
    <cfRule type="cellIs" dxfId="9" priority="5" operator="equal">
      <formula>"Low"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7.63"/>
    <col customWidth="1" min="3" max="3" width="18.25"/>
    <col customWidth="1" min="4" max="4" width="22.13"/>
    <col customWidth="1" min="6" max="6" width="15.88"/>
    <col customWidth="1" min="7" max="7" width="14.75"/>
    <col customWidth="1" min="8" max="8" width="21.63"/>
  </cols>
  <sheetData>
    <row r="1" ht="22.5" customHeight="1">
      <c r="A1" s="1" t="s">
        <v>0</v>
      </c>
      <c r="B1" s="33" t="s">
        <v>147</v>
      </c>
      <c r="C1" s="34" t="s">
        <v>148</v>
      </c>
      <c r="D1" s="34" t="s">
        <v>149</v>
      </c>
      <c r="F1" s="33" t="s">
        <v>150</v>
      </c>
      <c r="G1" s="9" t="s">
        <v>151</v>
      </c>
      <c r="H1" s="34" t="s">
        <v>149</v>
      </c>
      <c r="I1" s="9" t="s">
        <v>152</v>
      </c>
    </row>
    <row r="2" ht="22.5" customHeight="1">
      <c r="A2" s="3" t="s">
        <v>17</v>
      </c>
      <c r="B2" s="24">
        <v>196923.87</v>
      </c>
      <c r="C2" s="28"/>
      <c r="D2" s="35">
        <f t="shared" ref="D2:D101" si="1">(C2-B2)/7</f>
        <v>-28131.98143</v>
      </c>
      <c r="F2" s="24">
        <v>146900.0</v>
      </c>
      <c r="G2" s="36">
        <f t="shared" ref="G2:G3" si="2">B2-F2</f>
        <v>50023.87</v>
      </c>
      <c r="H2" s="36">
        <f t="shared" ref="H2:H3" si="3">G2/23</f>
        <v>2174.95087</v>
      </c>
      <c r="I2" s="36" t="str">
        <f t="shared" ref="I2:I3" si="4">IF(H2&gt;=PERCENTILE(H:H,0.9),"S Tier",
 IF(H2&gt;=PERCENTILE(H:H,0.7),"A Tier",
 IF(H2&gt;=PERCENTILE(H:H,0.5),"B Tier", IF(H2&gt;=PERCENTILE(H:H,0.3),"C Tier",
 IF(H2&gt;=PERCENTILE(H:H,0.1),"D Tier","E Tier")))))</f>
        <v>A Tier</v>
      </c>
    </row>
    <row r="3" ht="22.5" customHeight="1">
      <c r="A3" s="7" t="s">
        <v>18</v>
      </c>
      <c r="B3" s="24">
        <v>170623.41</v>
      </c>
      <c r="C3" s="28"/>
      <c r="D3" s="35">
        <f t="shared" si="1"/>
        <v>-24374.77286</v>
      </c>
      <c r="F3" s="24">
        <v>127700.0</v>
      </c>
      <c r="G3" s="36">
        <f t="shared" si="2"/>
        <v>42923.41</v>
      </c>
      <c r="H3" s="36">
        <f t="shared" si="3"/>
        <v>1866.235217</v>
      </c>
      <c r="I3" s="36" t="str">
        <f t="shared" si="4"/>
        <v>A Tier</v>
      </c>
    </row>
    <row r="4" ht="22.5" customHeight="1">
      <c r="A4" s="7" t="s">
        <v>20</v>
      </c>
      <c r="B4" s="24">
        <v>165428.83</v>
      </c>
      <c r="C4" s="28"/>
      <c r="D4" s="35">
        <f t="shared" si="1"/>
        <v>-23632.69</v>
      </c>
      <c r="F4" s="24" t="s">
        <v>145</v>
      </c>
      <c r="G4" s="9" t="s">
        <v>145</v>
      </c>
      <c r="H4" s="9" t="s">
        <v>145</v>
      </c>
      <c r="I4" s="9" t="s">
        <v>145</v>
      </c>
    </row>
    <row r="5" ht="22.5" customHeight="1">
      <c r="A5" s="7" t="s">
        <v>19</v>
      </c>
      <c r="B5" s="24">
        <v>182897.67</v>
      </c>
      <c r="C5" s="28"/>
      <c r="D5" s="35">
        <f t="shared" si="1"/>
        <v>-26128.23857</v>
      </c>
      <c r="F5" s="24">
        <v>141600.0</v>
      </c>
      <c r="G5" s="36">
        <f t="shared" ref="G5:G11" si="5">B5-F5</f>
        <v>41297.67</v>
      </c>
      <c r="H5" s="36">
        <f t="shared" ref="H5:H11" si="6">G5/23</f>
        <v>1795.55087</v>
      </c>
      <c r="I5" s="36" t="str">
        <f t="shared" ref="I5:I11" si="7">IF(H5&gt;=PERCENTILE(H:H,0.9),"S Tier",
 IF(H5&gt;=PERCENTILE(H:H,0.7),"A Tier",
 IF(H5&gt;=PERCENTILE(H:H,0.5),"B Tier", IF(H5&gt;=PERCENTILE(H:H,0.3),"C Tier",
 IF(H5&gt;=PERCENTILE(H:H,0.1),"D Tier","E Tier")))))</f>
        <v>B Tier</v>
      </c>
    </row>
    <row r="6" ht="22.5" customHeight="1">
      <c r="A6" s="7" t="s">
        <v>21</v>
      </c>
      <c r="B6" s="24">
        <v>145909.89</v>
      </c>
      <c r="C6" s="28"/>
      <c r="D6" s="35">
        <f t="shared" si="1"/>
        <v>-20844.27</v>
      </c>
      <c r="F6" s="24">
        <v>116100.0</v>
      </c>
      <c r="G6" s="36">
        <f t="shared" si="5"/>
        <v>29809.89</v>
      </c>
      <c r="H6" s="36">
        <f t="shared" si="6"/>
        <v>1296.082174</v>
      </c>
      <c r="I6" s="36" t="str">
        <f t="shared" si="7"/>
        <v>D Tier</v>
      </c>
    </row>
    <row r="7" ht="22.5" customHeight="1">
      <c r="A7" s="7" t="s">
        <v>22</v>
      </c>
      <c r="B7" s="24">
        <v>196273.99</v>
      </c>
      <c r="C7" s="28"/>
      <c r="D7" s="35">
        <f t="shared" si="1"/>
        <v>-28039.14143</v>
      </c>
      <c r="F7" s="24">
        <v>183700.0</v>
      </c>
      <c r="G7" s="36">
        <f t="shared" si="5"/>
        <v>12573.99</v>
      </c>
      <c r="H7" s="36">
        <f t="shared" si="6"/>
        <v>546.6952174</v>
      </c>
      <c r="I7" s="36" t="str">
        <f t="shared" si="7"/>
        <v>E Tier</v>
      </c>
    </row>
    <row r="8" ht="22.5" customHeight="1">
      <c r="A8" s="7" t="s">
        <v>23</v>
      </c>
      <c r="B8" s="24">
        <v>112397.56</v>
      </c>
      <c r="C8" s="28"/>
      <c r="D8" s="35">
        <f t="shared" si="1"/>
        <v>-16056.79429</v>
      </c>
      <c r="F8" s="24">
        <v>107000.0</v>
      </c>
      <c r="G8" s="36">
        <f t="shared" si="5"/>
        <v>5397.56</v>
      </c>
      <c r="H8" s="36">
        <f t="shared" si="6"/>
        <v>234.6765217</v>
      </c>
      <c r="I8" s="36" t="str">
        <f t="shared" si="7"/>
        <v>E Tier</v>
      </c>
    </row>
    <row r="9" ht="22.5" customHeight="1">
      <c r="A9" s="7" t="s">
        <v>24</v>
      </c>
      <c r="B9" s="24">
        <v>173864.08</v>
      </c>
      <c r="C9" s="28"/>
      <c r="D9" s="35">
        <f t="shared" si="1"/>
        <v>-24837.72571</v>
      </c>
      <c r="F9" s="24">
        <v>141200.0</v>
      </c>
      <c r="G9" s="36">
        <f t="shared" si="5"/>
        <v>32664.08</v>
      </c>
      <c r="H9" s="36">
        <f t="shared" si="6"/>
        <v>1420.177391</v>
      </c>
      <c r="I9" s="36" t="str">
        <f t="shared" si="7"/>
        <v>C Tier</v>
      </c>
    </row>
    <row r="10" ht="22.5" customHeight="1">
      <c r="A10" s="7" t="s">
        <v>25</v>
      </c>
      <c r="B10" s="24">
        <v>186431.6</v>
      </c>
      <c r="C10" s="28"/>
      <c r="D10" s="35">
        <f t="shared" si="1"/>
        <v>-26633.08571</v>
      </c>
      <c r="F10" s="24">
        <v>143300.0</v>
      </c>
      <c r="G10" s="36">
        <f t="shared" si="5"/>
        <v>43131.6</v>
      </c>
      <c r="H10" s="36">
        <f t="shared" si="6"/>
        <v>1875.286957</v>
      </c>
      <c r="I10" s="36" t="str">
        <f t="shared" si="7"/>
        <v>A Tier</v>
      </c>
    </row>
    <row r="11" ht="22.5" customHeight="1">
      <c r="A11" s="7" t="s">
        <v>26</v>
      </c>
      <c r="B11" s="24">
        <v>222361.65</v>
      </c>
      <c r="C11" s="28"/>
      <c r="D11" s="35">
        <f t="shared" si="1"/>
        <v>-31765.95</v>
      </c>
      <c r="F11" s="24">
        <v>173700.0</v>
      </c>
      <c r="G11" s="36">
        <f t="shared" si="5"/>
        <v>48661.65</v>
      </c>
      <c r="H11" s="36">
        <f t="shared" si="6"/>
        <v>2115.723913</v>
      </c>
      <c r="I11" s="36" t="str">
        <f t="shared" si="7"/>
        <v>A Tier</v>
      </c>
    </row>
    <row r="12" ht="22.5" customHeight="1">
      <c r="A12" s="7" t="s">
        <v>29</v>
      </c>
      <c r="B12" s="24">
        <v>308582.503</v>
      </c>
      <c r="C12" s="28"/>
      <c r="D12" s="35">
        <f t="shared" si="1"/>
        <v>-44083.21471</v>
      </c>
      <c r="F12" s="24" t="s">
        <v>145</v>
      </c>
      <c r="G12" s="9" t="s">
        <v>145</v>
      </c>
      <c r="H12" s="9" t="s">
        <v>145</v>
      </c>
      <c r="I12" s="9" t="s">
        <v>145</v>
      </c>
    </row>
    <row r="13" ht="22.5" customHeight="1">
      <c r="A13" s="8" t="s">
        <v>27</v>
      </c>
      <c r="B13" s="24">
        <v>210078.23</v>
      </c>
      <c r="C13" s="28"/>
      <c r="D13" s="35">
        <f t="shared" si="1"/>
        <v>-30011.17571</v>
      </c>
      <c r="F13" s="24">
        <v>176800.0</v>
      </c>
      <c r="G13" s="36">
        <f>B13-F13</f>
        <v>33278.23</v>
      </c>
      <c r="H13" s="36">
        <f>G13/23</f>
        <v>1446.879565</v>
      </c>
      <c r="I13" s="36" t="str">
        <f>IF(H13&gt;=PERCENTILE(H:H,0.9),"S Tier",
 IF(H13&gt;=PERCENTILE(H:H,0.7),"A Tier",
 IF(H13&gt;=PERCENTILE(H:H,0.5),"B Tier", IF(H13&gt;=PERCENTILE(H:H,0.3),"C Tier",
 IF(H13&gt;=PERCENTILE(H:H,0.1),"D Tier","E Tier")))))</f>
        <v>C Tier</v>
      </c>
    </row>
    <row r="14" ht="22.5" customHeight="1">
      <c r="A14" s="8" t="s">
        <v>31</v>
      </c>
      <c r="B14" s="24">
        <v>295280.016</v>
      </c>
      <c r="C14" s="28"/>
      <c r="D14" s="35">
        <f t="shared" si="1"/>
        <v>-42182.85943</v>
      </c>
      <c r="F14" s="24" t="s">
        <v>145</v>
      </c>
      <c r="G14" s="9" t="s">
        <v>145</v>
      </c>
      <c r="H14" s="9" t="s">
        <v>145</v>
      </c>
      <c r="I14" s="9" t="s">
        <v>145</v>
      </c>
    </row>
    <row r="15" ht="22.5" customHeight="1">
      <c r="A15" s="8" t="s">
        <v>28</v>
      </c>
      <c r="B15" s="24">
        <v>204799.3</v>
      </c>
      <c r="C15" s="28"/>
      <c r="D15" s="35">
        <f t="shared" si="1"/>
        <v>-29257.04286</v>
      </c>
      <c r="F15" s="24">
        <v>160400.0</v>
      </c>
      <c r="G15" s="36">
        <f t="shared" ref="G15:G17" si="8">B15-F15</f>
        <v>44399.3</v>
      </c>
      <c r="H15" s="36">
        <f t="shared" ref="H15:H17" si="9">G15/23</f>
        <v>1930.404348</v>
      </c>
      <c r="I15" s="36" t="str">
        <f t="shared" ref="I15:I17" si="10">IF(H15&gt;=PERCENTILE(H:H,0.9),"S Tier",
 IF(H15&gt;=PERCENTILE(H:H,0.7),"A Tier",
 IF(H15&gt;=PERCENTILE(H:H,0.5),"B Tier", IF(H15&gt;=PERCENTILE(H:H,0.3),"C Tier",
 IF(H15&gt;=PERCENTILE(H:H,0.1),"D Tier","E Tier")))))</f>
        <v>A Tier</v>
      </c>
    </row>
    <row r="16" ht="22.5" customHeight="1">
      <c r="A16" s="8" t="s">
        <v>30</v>
      </c>
      <c r="B16" s="24">
        <v>224741.51</v>
      </c>
      <c r="C16" s="28"/>
      <c r="D16" s="35">
        <f t="shared" si="1"/>
        <v>-32105.93</v>
      </c>
      <c r="F16" s="24">
        <v>164400.0</v>
      </c>
      <c r="G16" s="36">
        <f t="shared" si="8"/>
        <v>60341.51</v>
      </c>
      <c r="H16" s="36">
        <f t="shared" si="9"/>
        <v>2623.543913</v>
      </c>
      <c r="I16" s="36" t="str">
        <f t="shared" si="10"/>
        <v>S Tier</v>
      </c>
    </row>
    <row r="17" ht="22.5" customHeight="1">
      <c r="A17" s="8" t="s">
        <v>33</v>
      </c>
      <c r="B17" s="24">
        <v>202968.82</v>
      </c>
      <c r="C17" s="28"/>
      <c r="D17" s="35">
        <f t="shared" si="1"/>
        <v>-28995.54571</v>
      </c>
      <c r="F17" s="24">
        <v>157300.0</v>
      </c>
      <c r="G17" s="36">
        <f t="shared" si="8"/>
        <v>45668.82</v>
      </c>
      <c r="H17" s="36">
        <f t="shared" si="9"/>
        <v>1985.60087</v>
      </c>
      <c r="I17" s="36" t="str">
        <f t="shared" si="10"/>
        <v>A Tier</v>
      </c>
    </row>
    <row r="18" ht="22.5" customHeight="1">
      <c r="A18" s="8" t="s">
        <v>34</v>
      </c>
      <c r="B18" s="24">
        <v>192534.15</v>
      </c>
      <c r="C18" s="28"/>
      <c r="D18" s="35">
        <f t="shared" si="1"/>
        <v>-27504.87857</v>
      </c>
      <c r="F18" s="24" t="s">
        <v>145</v>
      </c>
      <c r="G18" s="9" t="s">
        <v>145</v>
      </c>
      <c r="H18" s="9" t="s">
        <v>145</v>
      </c>
      <c r="I18" s="9" t="s">
        <v>145</v>
      </c>
    </row>
    <row r="19" ht="22.5" customHeight="1">
      <c r="A19" s="8" t="s">
        <v>35</v>
      </c>
      <c r="B19" s="24">
        <v>139087.63</v>
      </c>
      <c r="C19" s="28"/>
      <c r="D19" s="35">
        <f t="shared" si="1"/>
        <v>-19869.66143</v>
      </c>
      <c r="F19" s="24" t="s">
        <v>145</v>
      </c>
      <c r="G19" s="9" t="s">
        <v>145</v>
      </c>
      <c r="H19" s="9" t="s">
        <v>145</v>
      </c>
      <c r="I19" s="9" t="s">
        <v>145</v>
      </c>
    </row>
    <row r="20" ht="22.5" customHeight="1">
      <c r="A20" s="8" t="s">
        <v>37</v>
      </c>
      <c r="B20" s="24">
        <v>150809.23</v>
      </c>
      <c r="C20" s="28"/>
      <c r="D20" s="35">
        <f t="shared" si="1"/>
        <v>-21544.17571</v>
      </c>
      <c r="F20" s="24">
        <v>109500.0</v>
      </c>
      <c r="G20" s="36">
        <f t="shared" ref="G20:G23" si="11">B20-F20</f>
        <v>41309.23</v>
      </c>
      <c r="H20" s="36">
        <f t="shared" ref="H20:H23" si="12">G20/23</f>
        <v>1796.053478</v>
      </c>
      <c r="I20" s="36" t="str">
        <f t="shared" ref="I20:I23" si="13">IF(H20&gt;=PERCENTILE(H:H,0.9),"S Tier",
 IF(H20&gt;=PERCENTILE(H:H,0.7),"A Tier",
 IF(H20&gt;=PERCENTILE(H:H,0.5),"B Tier", IF(H20&gt;=PERCENTILE(H:H,0.3),"C Tier",
 IF(H20&gt;=PERCENTILE(H:H,0.1),"D Tier","E Tier")))))</f>
        <v>B Tier</v>
      </c>
    </row>
    <row r="21" ht="22.5" customHeight="1">
      <c r="A21" s="8" t="s">
        <v>38</v>
      </c>
      <c r="B21" s="24">
        <v>150681.09</v>
      </c>
      <c r="C21" s="28"/>
      <c r="D21" s="35">
        <f t="shared" si="1"/>
        <v>-21525.87</v>
      </c>
      <c r="F21" s="24">
        <v>116400.0</v>
      </c>
      <c r="G21" s="36">
        <f t="shared" si="11"/>
        <v>34281.09</v>
      </c>
      <c r="H21" s="36">
        <f t="shared" si="12"/>
        <v>1490.482174</v>
      </c>
      <c r="I21" s="36" t="str">
        <f t="shared" si="13"/>
        <v>C Tier</v>
      </c>
    </row>
    <row r="22" ht="22.5" customHeight="1">
      <c r="A22" s="8" t="s">
        <v>39</v>
      </c>
      <c r="B22" s="24">
        <v>154793.65</v>
      </c>
      <c r="C22" s="28"/>
      <c r="D22" s="35">
        <f t="shared" si="1"/>
        <v>-22113.37857</v>
      </c>
      <c r="F22" s="24">
        <v>114600.0</v>
      </c>
      <c r="G22" s="36">
        <f t="shared" si="11"/>
        <v>40193.65</v>
      </c>
      <c r="H22" s="36">
        <f t="shared" si="12"/>
        <v>1747.55</v>
      </c>
      <c r="I22" s="36" t="str">
        <f t="shared" si="13"/>
        <v>B Tier</v>
      </c>
    </row>
    <row r="23" ht="22.5" customHeight="1">
      <c r="A23" s="8" t="s">
        <v>40</v>
      </c>
      <c r="B23" s="24">
        <v>181612.07</v>
      </c>
      <c r="C23" s="28"/>
      <c r="D23" s="35">
        <f t="shared" si="1"/>
        <v>-25944.58143</v>
      </c>
      <c r="F23" s="24">
        <v>145000.0</v>
      </c>
      <c r="G23" s="36">
        <f t="shared" si="11"/>
        <v>36612.07</v>
      </c>
      <c r="H23" s="36">
        <f t="shared" si="12"/>
        <v>1591.82913</v>
      </c>
      <c r="I23" s="36" t="str">
        <f t="shared" si="13"/>
        <v>B Tier</v>
      </c>
    </row>
    <row r="24" ht="22.5" customHeight="1">
      <c r="A24" s="8" t="s">
        <v>41</v>
      </c>
      <c r="B24" s="24">
        <v>141108.52</v>
      </c>
      <c r="C24" s="28"/>
      <c r="D24" s="35">
        <f t="shared" si="1"/>
        <v>-20158.36</v>
      </c>
      <c r="F24" s="24"/>
      <c r="G24" s="9" t="s">
        <v>145</v>
      </c>
      <c r="H24" s="9" t="s">
        <v>145</v>
      </c>
      <c r="I24" s="9" t="s">
        <v>145</v>
      </c>
    </row>
    <row r="25" ht="22.5" customHeight="1">
      <c r="A25" s="8" t="s">
        <v>144</v>
      </c>
      <c r="B25" s="24">
        <v>223481.5</v>
      </c>
      <c r="C25" s="28"/>
      <c r="D25" s="35">
        <f t="shared" si="1"/>
        <v>-31925.92857</v>
      </c>
      <c r="F25" s="24">
        <v>174900.0</v>
      </c>
      <c r="G25" s="36">
        <f t="shared" ref="G25:G27" si="14">B25-F25</f>
        <v>48581.5</v>
      </c>
      <c r="H25" s="36">
        <f t="shared" ref="H25:H27" si="15">G25/23</f>
        <v>2112.23913</v>
      </c>
      <c r="I25" s="36" t="str">
        <f t="shared" ref="I25:I27" si="16">IF(H25&gt;=PERCENTILE(H:H,0.9),"S Tier",
 IF(H25&gt;=PERCENTILE(H:H,0.7),"A Tier",
 IF(H25&gt;=PERCENTILE(H:H,0.5),"B Tier", IF(H25&gt;=PERCENTILE(H:H,0.3),"C Tier",
 IF(H25&gt;=PERCENTILE(H:H,0.1),"D Tier","E Tier")))))</f>
        <v>A Tier</v>
      </c>
    </row>
    <row r="26" ht="22.5" customHeight="1">
      <c r="A26" s="8" t="s">
        <v>43</v>
      </c>
      <c r="B26" s="24">
        <v>172501.65</v>
      </c>
      <c r="C26" s="28"/>
      <c r="D26" s="35">
        <f t="shared" si="1"/>
        <v>-24643.09286</v>
      </c>
      <c r="F26" s="24">
        <v>124700.0</v>
      </c>
      <c r="G26" s="36">
        <f t="shared" si="14"/>
        <v>47801.65</v>
      </c>
      <c r="H26" s="36">
        <f t="shared" si="15"/>
        <v>2078.332609</v>
      </c>
      <c r="I26" s="36" t="str">
        <f t="shared" si="16"/>
        <v>A Tier</v>
      </c>
    </row>
    <row r="27" ht="22.5" customHeight="1">
      <c r="A27" s="8" t="s">
        <v>44</v>
      </c>
      <c r="B27" s="24">
        <v>108518.63</v>
      </c>
      <c r="C27" s="28"/>
      <c r="D27" s="35">
        <f t="shared" si="1"/>
        <v>-15502.66143</v>
      </c>
      <c r="F27" s="24">
        <v>98800.0</v>
      </c>
      <c r="G27" s="36">
        <f t="shared" si="14"/>
        <v>9718.63</v>
      </c>
      <c r="H27" s="36">
        <f t="shared" si="15"/>
        <v>422.5491304</v>
      </c>
      <c r="I27" s="36" t="str">
        <f t="shared" si="16"/>
        <v>E Tier</v>
      </c>
    </row>
    <row r="28" ht="22.5" customHeight="1">
      <c r="A28" s="8" t="s">
        <v>45</v>
      </c>
      <c r="B28" s="24">
        <v>141862.71</v>
      </c>
      <c r="C28" s="28"/>
      <c r="D28" s="35">
        <f t="shared" si="1"/>
        <v>-20266.10143</v>
      </c>
      <c r="F28" s="24" t="s">
        <v>145</v>
      </c>
      <c r="G28" s="9" t="s">
        <v>145</v>
      </c>
      <c r="H28" s="9" t="s">
        <v>145</v>
      </c>
      <c r="I28" s="9" t="s">
        <v>145</v>
      </c>
    </row>
    <row r="29" ht="22.5" customHeight="1">
      <c r="A29" s="8" t="s">
        <v>153</v>
      </c>
      <c r="B29" s="24">
        <v>165973.32</v>
      </c>
      <c r="C29" s="28"/>
      <c r="D29" s="35">
        <f t="shared" si="1"/>
        <v>-23710.47429</v>
      </c>
      <c r="F29" s="24" t="s">
        <v>145</v>
      </c>
      <c r="G29" s="9" t="s">
        <v>145</v>
      </c>
      <c r="H29" s="9" t="s">
        <v>145</v>
      </c>
      <c r="I29" s="9" t="s">
        <v>145</v>
      </c>
    </row>
    <row r="30" ht="22.5" customHeight="1">
      <c r="A30" s="8" t="s">
        <v>47</v>
      </c>
      <c r="B30" s="24">
        <v>200437.262</v>
      </c>
      <c r="C30" s="28"/>
      <c r="D30" s="35">
        <f t="shared" si="1"/>
        <v>-28633.89457</v>
      </c>
      <c r="F30" s="24">
        <v>149400.0</v>
      </c>
      <c r="G30" s="36">
        <f t="shared" ref="G30:G34" si="17">B30-F30</f>
        <v>51037.262</v>
      </c>
      <c r="H30" s="36">
        <f t="shared" ref="H30:H34" si="18">G30/23</f>
        <v>2219.011391</v>
      </c>
      <c r="I30" s="36" t="str">
        <f t="shared" ref="I30:I34" si="19">IF(H30&gt;=PERCENTILE(H:H,0.9),"S Tier",
 IF(H30&gt;=PERCENTILE(H:H,0.7),"A Tier",
 IF(H30&gt;=PERCENTILE(H:H,0.5),"B Tier", IF(H30&gt;=PERCENTILE(H:H,0.3),"C Tier",
 IF(H30&gt;=PERCENTILE(H:H,0.1),"D Tier","E Tier")))))</f>
        <v>S Tier</v>
      </c>
    </row>
    <row r="31" ht="22.5" customHeight="1">
      <c r="A31" s="8" t="s">
        <v>48</v>
      </c>
      <c r="B31" s="24">
        <v>144719.52</v>
      </c>
      <c r="C31" s="28"/>
      <c r="D31" s="35">
        <f t="shared" si="1"/>
        <v>-20674.21714</v>
      </c>
      <c r="F31" s="24">
        <v>114300.0</v>
      </c>
      <c r="G31" s="36">
        <f t="shared" si="17"/>
        <v>30419.52</v>
      </c>
      <c r="H31" s="36">
        <f t="shared" si="18"/>
        <v>1322.587826</v>
      </c>
      <c r="I31" s="36" t="str">
        <f t="shared" si="19"/>
        <v>D Tier</v>
      </c>
    </row>
    <row r="32" ht="22.5" customHeight="1">
      <c r="A32" s="8" t="s">
        <v>50</v>
      </c>
      <c r="B32" s="24">
        <v>178391.66</v>
      </c>
      <c r="C32" s="28"/>
      <c r="D32" s="35">
        <f t="shared" si="1"/>
        <v>-25484.52286</v>
      </c>
      <c r="F32" s="24">
        <v>135900.0</v>
      </c>
      <c r="G32" s="36">
        <f t="shared" si="17"/>
        <v>42491.66</v>
      </c>
      <c r="H32" s="36">
        <f t="shared" si="18"/>
        <v>1847.463478</v>
      </c>
      <c r="I32" s="36" t="str">
        <f t="shared" si="19"/>
        <v>B Tier</v>
      </c>
    </row>
    <row r="33" ht="22.5" customHeight="1">
      <c r="A33" s="8" t="s">
        <v>51</v>
      </c>
      <c r="B33" s="24">
        <v>173339.01</v>
      </c>
      <c r="C33" s="28"/>
      <c r="D33" s="35">
        <f t="shared" si="1"/>
        <v>-24762.71571</v>
      </c>
      <c r="F33" s="24">
        <v>130200.0</v>
      </c>
      <c r="G33" s="6">
        <f t="shared" si="17"/>
        <v>43139.01</v>
      </c>
      <c r="H33" s="6">
        <f t="shared" si="18"/>
        <v>1875.60913</v>
      </c>
      <c r="I33" s="36" t="str">
        <f t="shared" si="19"/>
        <v>A Tier</v>
      </c>
    </row>
    <row r="34" ht="22.5" customHeight="1">
      <c r="A34" s="8" t="s">
        <v>52</v>
      </c>
      <c r="B34" s="24">
        <v>191346.04</v>
      </c>
      <c r="C34" s="28"/>
      <c r="D34" s="35">
        <f t="shared" si="1"/>
        <v>-27335.14857</v>
      </c>
      <c r="F34" s="24">
        <v>151100.0</v>
      </c>
      <c r="G34" s="36">
        <f t="shared" si="17"/>
        <v>40246.04</v>
      </c>
      <c r="H34" s="36">
        <f t="shared" si="18"/>
        <v>1749.827826</v>
      </c>
      <c r="I34" s="36" t="str">
        <f t="shared" si="19"/>
        <v>B Tier</v>
      </c>
    </row>
    <row r="35" ht="22.5" customHeight="1">
      <c r="A35" s="8" t="s">
        <v>53</v>
      </c>
      <c r="B35" s="24">
        <v>217182.92</v>
      </c>
      <c r="C35" s="28"/>
      <c r="D35" s="35">
        <f t="shared" si="1"/>
        <v>-31026.13143</v>
      </c>
      <c r="F35" s="24" t="s">
        <v>145</v>
      </c>
      <c r="G35" s="9" t="s">
        <v>145</v>
      </c>
      <c r="H35" s="9" t="s">
        <v>145</v>
      </c>
      <c r="I35" s="9" t="s">
        <v>145</v>
      </c>
    </row>
    <row r="36" ht="22.5" customHeight="1">
      <c r="A36" s="8" t="s">
        <v>54</v>
      </c>
      <c r="B36" s="24">
        <v>170243.77</v>
      </c>
      <c r="C36" s="28"/>
      <c r="D36" s="35">
        <f t="shared" si="1"/>
        <v>-24320.53857</v>
      </c>
      <c r="F36" s="24">
        <v>129900.0</v>
      </c>
      <c r="G36" s="36">
        <f t="shared" ref="G36:G37" si="20">B36-F36</f>
        <v>40343.77</v>
      </c>
      <c r="H36" s="36">
        <f t="shared" ref="H36:H37" si="21">G36/23</f>
        <v>1754.076957</v>
      </c>
      <c r="I36" s="36" t="str">
        <f t="shared" ref="I36:I37" si="22">IF(H36&gt;=PERCENTILE(H:H,0.9),"S Tier",
 IF(H36&gt;=PERCENTILE(H:H,0.7),"A Tier",
 IF(H36&gt;=PERCENTILE(H:H,0.5),"B Tier", IF(H36&gt;=PERCENTILE(H:H,0.3),"C Tier",
 IF(H36&gt;=PERCENTILE(H:H,0.1),"D Tier","E Tier")))))</f>
        <v>B Tier</v>
      </c>
    </row>
    <row r="37" ht="22.5" customHeight="1">
      <c r="A37" s="8" t="s">
        <v>55</v>
      </c>
      <c r="B37" s="24">
        <v>194987.52</v>
      </c>
      <c r="C37" s="28"/>
      <c r="D37" s="35">
        <f t="shared" si="1"/>
        <v>-27855.36</v>
      </c>
      <c r="F37" s="24">
        <v>159500.0</v>
      </c>
      <c r="G37" s="36">
        <f t="shared" si="20"/>
        <v>35487.52</v>
      </c>
      <c r="H37" s="36">
        <f t="shared" si="21"/>
        <v>1542.935652</v>
      </c>
      <c r="I37" s="36" t="str">
        <f t="shared" si="22"/>
        <v>C Tier</v>
      </c>
    </row>
    <row r="38" ht="22.5" customHeight="1">
      <c r="A38" s="8" t="s">
        <v>56</v>
      </c>
      <c r="B38" s="24">
        <v>184800.18</v>
      </c>
      <c r="C38" s="28"/>
      <c r="D38" s="35">
        <f t="shared" si="1"/>
        <v>-26400.02571</v>
      </c>
      <c r="F38" s="24" t="s">
        <v>145</v>
      </c>
      <c r="G38" s="9" t="s">
        <v>145</v>
      </c>
      <c r="H38" s="9" t="s">
        <v>145</v>
      </c>
      <c r="I38" s="9" t="s">
        <v>145</v>
      </c>
    </row>
    <row r="39" ht="22.5" customHeight="1">
      <c r="A39" s="8" t="s">
        <v>58</v>
      </c>
      <c r="B39" s="24">
        <v>186389.83</v>
      </c>
      <c r="C39" s="28"/>
      <c r="D39" s="35">
        <f t="shared" si="1"/>
        <v>-26627.11857</v>
      </c>
      <c r="F39" s="24">
        <v>143700.0</v>
      </c>
      <c r="G39" s="36">
        <f t="shared" ref="G39:G53" si="23">B39-F39</f>
        <v>42689.83</v>
      </c>
      <c r="H39" s="36">
        <f t="shared" ref="H39:H53" si="24">G39/23</f>
        <v>1856.079565</v>
      </c>
      <c r="I39" s="36" t="str">
        <f t="shared" ref="I39:I53" si="25">IF(H39&gt;=PERCENTILE(H:H,0.9),"S Tier",
 IF(H39&gt;=PERCENTILE(H:H,0.7),"A Tier",
 IF(H39&gt;=PERCENTILE(H:H,0.5),"B Tier", IF(H39&gt;=PERCENTILE(H:H,0.3),"C Tier",
 IF(H39&gt;=PERCENTILE(H:H,0.1),"D Tier","E Tier")))))</f>
        <v>A Tier</v>
      </c>
    </row>
    <row r="40" ht="22.5" customHeight="1">
      <c r="A40" s="8" t="s">
        <v>59</v>
      </c>
      <c r="B40" s="24">
        <v>149257.37</v>
      </c>
      <c r="C40" s="28"/>
      <c r="D40" s="35">
        <f t="shared" si="1"/>
        <v>-21322.48143</v>
      </c>
      <c r="F40" s="24">
        <v>105500.0</v>
      </c>
      <c r="G40" s="36">
        <f t="shared" si="23"/>
        <v>43757.37</v>
      </c>
      <c r="H40" s="36">
        <f t="shared" si="24"/>
        <v>1902.494348</v>
      </c>
      <c r="I40" s="36" t="str">
        <f t="shared" si="25"/>
        <v>A Tier</v>
      </c>
    </row>
    <row r="41" ht="22.5" customHeight="1">
      <c r="A41" s="8" t="s">
        <v>60</v>
      </c>
      <c r="B41" s="24">
        <v>176291.38</v>
      </c>
      <c r="C41" s="28"/>
      <c r="D41" s="35">
        <f t="shared" si="1"/>
        <v>-25184.48286</v>
      </c>
      <c r="F41" s="24">
        <v>120600.0</v>
      </c>
      <c r="G41" s="36">
        <f t="shared" si="23"/>
        <v>55691.38</v>
      </c>
      <c r="H41" s="36">
        <f t="shared" si="24"/>
        <v>2421.364348</v>
      </c>
      <c r="I41" s="36" t="str">
        <f t="shared" si="25"/>
        <v>S Tier</v>
      </c>
    </row>
    <row r="42" ht="22.5" customHeight="1">
      <c r="A42" s="8" t="s">
        <v>61</v>
      </c>
      <c r="B42" s="24">
        <v>259557.903</v>
      </c>
      <c r="C42" s="28"/>
      <c r="D42" s="35">
        <f t="shared" si="1"/>
        <v>-37079.70043</v>
      </c>
      <c r="F42" s="24">
        <v>192000.0</v>
      </c>
      <c r="G42" s="36">
        <f t="shared" si="23"/>
        <v>67557.903</v>
      </c>
      <c r="H42" s="36">
        <f t="shared" si="24"/>
        <v>2937.30013</v>
      </c>
      <c r="I42" s="36" t="str">
        <f t="shared" si="25"/>
        <v>S Tier</v>
      </c>
    </row>
    <row r="43" ht="22.5" customHeight="1">
      <c r="A43" s="8" t="s">
        <v>62</v>
      </c>
      <c r="B43" s="24">
        <v>208869.654</v>
      </c>
      <c r="C43" s="28"/>
      <c r="D43" s="35">
        <f t="shared" si="1"/>
        <v>-29838.522</v>
      </c>
      <c r="F43" s="24">
        <v>126600.0</v>
      </c>
      <c r="G43" s="36">
        <f t="shared" si="23"/>
        <v>82269.654</v>
      </c>
      <c r="H43" s="36">
        <f t="shared" si="24"/>
        <v>3576.941478</v>
      </c>
      <c r="I43" s="36" t="str">
        <f t="shared" si="25"/>
        <v>S Tier</v>
      </c>
    </row>
    <row r="44" ht="22.5" customHeight="1">
      <c r="A44" s="8" t="s">
        <v>63</v>
      </c>
      <c r="B44" s="24">
        <v>157065.2</v>
      </c>
      <c r="C44" s="28"/>
      <c r="D44" s="35">
        <f t="shared" si="1"/>
        <v>-22437.88571</v>
      </c>
      <c r="F44" s="24">
        <v>122600.0</v>
      </c>
      <c r="G44" s="36">
        <f t="shared" si="23"/>
        <v>34465.2</v>
      </c>
      <c r="H44" s="36">
        <f t="shared" si="24"/>
        <v>1498.486957</v>
      </c>
      <c r="I44" s="36" t="str">
        <f t="shared" si="25"/>
        <v>C Tier</v>
      </c>
    </row>
    <row r="45" ht="22.5" customHeight="1">
      <c r="A45" s="8" t="s">
        <v>64</v>
      </c>
      <c r="B45" s="24">
        <v>155127.4</v>
      </c>
      <c r="C45" s="28"/>
      <c r="D45" s="35">
        <f t="shared" si="1"/>
        <v>-22161.05714</v>
      </c>
      <c r="F45" s="24">
        <v>119600.0</v>
      </c>
      <c r="G45" s="36">
        <f t="shared" si="23"/>
        <v>35527.4</v>
      </c>
      <c r="H45" s="36">
        <f t="shared" si="24"/>
        <v>1544.669565</v>
      </c>
      <c r="I45" s="36" t="str">
        <f t="shared" si="25"/>
        <v>C Tier</v>
      </c>
    </row>
    <row r="46" ht="22.5" customHeight="1">
      <c r="A46" s="8" t="s">
        <v>65</v>
      </c>
      <c r="B46" s="24">
        <v>156258.71</v>
      </c>
      <c r="C46" s="28"/>
      <c r="D46" s="35">
        <f t="shared" si="1"/>
        <v>-22322.67286</v>
      </c>
      <c r="F46" s="24">
        <v>118000.0</v>
      </c>
      <c r="G46" s="36">
        <f t="shared" si="23"/>
        <v>38258.71</v>
      </c>
      <c r="H46" s="36">
        <f t="shared" si="24"/>
        <v>1663.422174</v>
      </c>
      <c r="I46" s="36" t="str">
        <f t="shared" si="25"/>
        <v>B Tier</v>
      </c>
    </row>
    <row r="47" ht="22.5" customHeight="1">
      <c r="A47" s="8" t="s">
        <v>66</v>
      </c>
      <c r="B47" s="24">
        <v>148457.85</v>
      </c>
      <c r="C47" s="28"/>
      <c r="D47" s="35">
        <f t="shared" si="1"/>
        <v>-21208.26429</v>
      </c>
      <c r="F47" s="24">
        <v>116400.0</v>
      </c>
      <c r="G47" s="36">
        <f t="shared" si="23"/>
        <v>32057.85</v>
      </c>
      <c r="H47" s="36">
        <f t="shared" si="24"/>
        <v>1393.819565</v>
      </c>
      <c r="I47" s="36" t="str">
        <f t="shared" si="25"/>
        <v>D Tier</v>
      </c>
    </row>
    <row r="48" ht="22.5" customHeight="1">
      <c r="A48" s="8" t="s">
        <v>67</v>
      </c>
      <c r="B48" s="24">
        <v>143103.1</v>
      </c>
      <c r="C48" s="28"/>
      <c r="D48" s="35">
        <f t="shared" si="1"/>
        <v>-20443.3</v>
      </c>
      <c r="F48" s="24">
        <v>114000.0</v>
      </c>
      <c r="G48" s="36">
        <f t="shared" si="23"/>
        <v>29103.1</v>
      </c>
      <c r="H48" s="36">
        <f t="shared" si="24"/>
        <v>1265.352174</v>
      </c>
      <c r="I48" s="36" t="str">
        <f t="shared" si="25"/>
        <v>D Tier</v>
      </c>
    </row>
    <row r="49" ht="22.5" customHeight="1">
      <c r="A49" s="8" t="s">
        <v>68</v>
      </c>
      <c r="B49" s="24">
        <v>265011.581</v>
      </c>
      <c r="C49" s="28"/>
      <c r="D49" s="35">
        <f t="shared" si="1"/>
        <v>-37858.79729</v>
      </c>
      <c r="F49" s="24">
        <v>212200.0</v>
      </c>
      <c r="G49" s="36">
        <f t="shared" si="23"/>
        <v>52811.581</v>
      </c>
      <c r="H49" s="36">
        <f t="shared" si="24"/>
        <v>2296.155696</v>
      </c>
      <c r="I49" s="36" t="str">
        <f t="shared" si="25"/>
        <v>S Tier</v>
      </c>
    </row>
    <row r="50" ht="22.5" customHeight="1">
      <c r="A50" s="8" t="s">
        <v>69</v>
      </c>
      <c r="B50" s="24">
        <v>150559.25</v>
      </c>
      <c r="C50" s="28"/>
      <c r="D50" s="35">
        <f t="shared" si="1"/>
        <v>-21508.46429</v>
      </c>
      <c r="F50" s="24">
        <v>116300.0</v>
      </c>
      <c r="G50" s="36">
        <f t="shared" si="23"/>
        <v>34259.25</v>
      </c>
      <c r="H50" s="36">
        <f t="shared" si="24"/>
        <v>1489.532609</v>
      </c>
      <c r="I50" s="36" t="str">
        <f t="shared" si="25"/>
        <v>C Tier</v>
      </c>
    </row>
    <row r="51" ht="22.5" customHeight="1">
      <c r="A51" s="8" t="s">
        <v>70</v>
      </c>
      <c r="B51" s="24">
        <v>197834.09</v>
      </c>
      <c r="C51" s="28"/>
      <c r="D51" s="35">
        <f t="shared" si="1"/>
        <v>-28262.01286</v>
      </c>
      <c r="F51" s="24">
        <v>153100.0</v>
      </c>
      <c r="G51" s="36">
        <f t="shared" si="23"/>
        <v>44734.09</v>
      </c>
      <c r="H51" s="36">
        <f t="shared" si="24"/>
        <v>1944.960435</v>
      </c>
      <c r="I51" s="36" t="str">
        <f t="shared" si="25"/>
        <v>A Tier</v>
      </c>
    </row>
    <row r="52" ht="22.5" customHeight="1">
      <c r="A52" s="8" t="s">
        <v>71</v>
      </c>
      <c r="B52" s="24">
        <v>217541.97</v>
      </c>
      <c r="C52" s="28"/>
      <c r="D52" s="35">
        <f t="shared" si="1"/>
        <v>-31077.42429</v>
      </c>
      <c r="F52" s="24">
        <v>179600.0</v>
      </c>
      <c r="G52" s="36">
        <f t="shared" si="23"/>
        <v>37941.97</v>
      </c>
      <c r="H52" s="36">
        <f t="shared" si="24"/>
        <v>1649.65087</v>
      </c>
      <c r="I52" s="36" t="str">
        <f t="shared" si="25"/>
        <v>B Tier</v>
      </c>
    </row>
    <row r="53" ht="22.5" customHeight="1">
      <c r="A53" s="8" t="s">
        <v>72</v>
      </c>
      <c r="B53" s="24">
        <v>143596.93</v>
      </c>
      <c r="C53" s="28"/>
      <c r="D53" s="35">
        <f t="shared" si="1"/>
        <v>-20513.84714</v>
      </c>
      <c r="F53" s="24">
        <v>101500.0</v>
      </c>
      <c r="G53" s="36">
        <f t="shared" si="23"/>
        <v>42096.93</v>
      </c>
      <c r="H53" s="36">
        <f t="shared" si="24"/>
        <v>1830.301304</v>
      </c>
      <c r="I53" s="36" t="str">
        <f t="shared" si="25"/>
        <v>B Tier</v>
      </c>
    </row>
    <row r="54" ht="22.5" customHeight="1">
      <c r="A54" s="8" t="s">
        <v>73</v>
      </c>
      <c r="B54" s="24">
        <v>191683.854</v>
      </c>
      <c r="C54" s="28"/>
      <c r="D54" s="35">
        <f t="shared" si="1"/>
        <v>-27383.40771</v>
      </c>
      <c r="F54" s="24" t="s">
        <v>145</v>
      </c>
      <c r="G54" s="9" t="s">
        <v>145</v>
      </c>
      <c r="H54" s="9" t="s">
        <v>145</v>
      </c>
      <c r="I54" s="9" t="s">
        <v>145</v>
      </c>
    </row>
    <row r="55" ht="22.5" customHeight="1">
      <c r="A55" s="8" t="s">
        <v>74</v>
      </c>
      <c r="B55" s="24">
        <v>145648.05</v>
      </c>
      <c r="C55" s="28"/>
      <c r="D55" s="35">
        <f t="shared" si="1"/>
        <v>-20806.86429</v>
      </c>
      <c r="F55" s="24">
        <v>104100.0</v>
      </c>
      <c r="G55" s="36">
        <f t="shared" ref="G55:G58" si="26">B55-F55</f>
        <v>41548.05</v>
      </c>
      <c r="H55" s="36">
        <f t="shared" ref="H55:H58" si="27">G55/23</f>
        <v>1806.436957</v>
      </c>
      <c r="I55" s="36" t="str">
        <f t="shared" ref="I55:I58" si="28">IF(H55&gt;=PERCENTILE(H:H,0.9),"S Tier",
 IF(H55&gt;=PERCENTILE(H:H,0.7),"A Tier",
 IF(H55&gt;=PERCENTILE(H:H,0.5),"B Tier", IF(H55&gt;=PERCENTILE(H:H,0.3),"C Tier",
 IF(H55&gt;=PERCENTILE(H:H,0.1),"D Tier","E Tier")))))</f>
        <v>B Tier</v>
      </c>
    </row>
    <row r="56" ht="22.5" customHeight="1">
      <c r="A56" s="8" t="s">
        <v>75</v>
      </c>
      <c r="B56" s="24">
        <v>145095.37</v>
      </c>
      <c r="C56" s="28"/>
      <c r="D56" s="35">
        <f t="shared" si="1"/>
        <v>-20727.91</v>
      </c>
      <c r="F56" s="24">
        <v>105300.0</v>
      </c>
      <c r="G56" s="36">
        <f t="shared" si="26"/>
        <v>39795.37</v>
      </c>
      <c r="H56" s="36">
        <f t="shared" si="27"/>
        <v>1730.233478</v>
      </c>
      <c r="I56" s="36" t="str">
        <f t="shared" si="28"/>
        <v>B Tier</v>
      </c>
    </row>
    <row r="57" ht="22.5" customHeight="1">
      <c r="A57" s="8" t="s">
        <v>76</v>
      </c>
      <c r="B57" s="24">
        <v>122880.34</v>
      </c>
      <c r="C57" s="28"/>
      <c r="D57" s="35">
        <f t="shared" si="1"/>
        <v>-17554.33429</v>
      </c>
      <c r="F57" s="24">
        <v>119900.0</v>
      </c>
      <c r="G57" s="36">
        <f t="shared" si="26"/>
        <v>2980.34</v>
      </c>
      <c r="H57" s="36">
        <f t="shared" si="27"/>
        <v>129.58</v>
      </c>
      <c r="I57" s="36" t="str">
        <f t="shared" si="28"/>
        <v>E Tier</v>
      </c>
    </row>
    <row r="58" ht="22.5" customHeight="1">
      <c r="A58" s="10">
        <v>67.0</v>
      </c>
      <c r="B58" s="24">
        <v>152502.14</v>
      </c>
      <c r="C58" s="28"/>
      <c r="D58" s="35">
        <f t="shared" si="1"/>
        <v>-21786.02</v>
      </c>
      <c r="F58" s="24">
        <v>131600.0</v>
      </c>
      <c r="G58" s="36">
        <f t="shared" si="26"/>
        <v>20902.14</v>
      </c>
      <c r="H58" s="36">
        <f t="shared" si="27"/>
        <v>908.7886957</v>
      </c>
      <c r="I58" s="36" t="str">
        <f t="shared" si="28"/>
        <v>E Tier</v>
      </c>
    </row>
    <row r="59" ht="22.5" customHeight="1">
      <c r="A59" s="8" t="s">
        <v>77</v>
      </c>
      <c r="B59" s="24">
        <v>358348.558</v>
      </c>
      <c r="C59" s="28"/>
      <c r="D59" s="35">
        <f t="shared" si="1"/>
        <v>-51192.65114</v>
      </c>
      <c r="F59" s="24" t="s">
        <v>145</v>
      </c>
      <c r="G59" s="9" t="s">
        <v>145</v>
      </c>
      <c r="H59" s="9" t="s">
        <v>145</v>
      </c>
      <c r="I59" s="9" t="s">
        <v>145</v>
      </c>
    </row>
    <row r="60" ht="22.5" customHeight="1">
      <c r="A60" s="8" t="s">
        <v>80</v>
      </c>
      <c r="B60" s="24">
        <v>125208.34</v>
      </c>
      <c r="C60" s="28"/>
      <c r="D60" s="35">
        <f t="shared" si="1"/>
        <v>-17886.90571</v>
      </c>
      <c r="F60" s="24">
        <v>96600.0</v>
      </c>
      <c r="G60" s="36">
        <f>B60-F60</f>
        <v>28608.34</v>
      </c>
      <c r="H60" s="36">
        <f>G60/23</f>
        <v>1243.84087</v>
      </c>
      <c r="I60" s="36" t="str">
        <f>IF(H60&gt;=PERCENTILE(H:H,0.9),"S Tier",
 IF(H60&gt;=PERCENTILE(H:H,0.7),"A Tier",
 IF(H60&gt;=PERCENTILE(H:H,0.5),"B Tier", IF(H60&gt;=PERCENTILE(H:H,0.3),"C Tier",
 IF(H60&gt;=PERCENTILE(H:H,0.1),"D Tier","E Tier")))))</f>
        <v>D Tier</v>
      </c>
    </row>
    <row r="61" ht="22.5" customHeight="1">
      <c r="A61" s="10" t="s">
        <v>146</v>
      </c>
      <c r="B61" s="24">
        <v>160417.311</v>
      </c>
      <c r="C61" s="28"/>
      <c r="D61" s="35">
        <f t="shared" si="1"/>
        <v>-22916.75871</v>
      </c>
      <c r="F61" s="24" t="s">
        <v>145</v>
      </c>
      <c r="G61" s="9" t="s">
        <v>145</v>
      </c>
      <c r="H61" s="9" t="s">
        <v>145</v>
      </c>
      <c r="I61" s="9" t="s">
        <v>145</v>
      </c>
    </row>
    <row r="62" ht="22.5" customHeight="1">
      <c r="A62" s="8" t="s">
        <v>81</v>
      </c>
      <c r="B62" s="24">
        <v>173543.78</v>
      </c>
      <c r="C62" s="28"/>
      <c r="D62" s="35">
        <f t="shared" si="1"/>
        <v>-24791.96857</v>
      </c>
      <c r="F62" s="24" t="s">
        <v>145</v>
      </c>
      <c r="G62" s="9" t="s">
        <v>145</v>
      </c>
      <c r="H62" s="9" t="s">
        <v>145</v>
      </c>
      <c r="I62" s="9" t="s">
        <v>145</v>
      </c>
    </row>
    <row r="63" ht="22.5" customHeight="1">
      <c r="A63" s="12" t="s">
        <v>83</v>
      </c>
      <c r="B63" s="24">
        <v>163327.72</v>
      </c>
      <c r="C63" s="28"/>
      <c r="D63" s="35">
        <f t="shared" si="1"/>
        <v>-23332.53143</v>
      </c>
      <c r="F63" s="24">
        <v>127100.0</v>
      </c>
      <c r="G63" s="36">
        <f>B63-F63</f>
        <v>36227.72</v>
      </c>
      <c r="H63" s="36">
        <f>G63/23</f>
        <v>1575.118261</v>
      </c>
      <c r="I63" s="36" t="str">
        <f>IF(H63&gt;=PERCENTILE(H:H,0.9),"S Tier",
 IF(H63&gt;=PERCENTILE(H:H,0.7),"A Tier",
 IF(H63&gt;=PERCENTILE(H:H,0.5),"B Tier", IF(H63&gt;=PERCENTILE(H:H,0.3),"C Tier",
 IF(H63&gt;=PERCENTILE(H:H,0.1),"D Tier","E Tier")))))</f>
        <v>C Tier</v>
      </c>
    </row>
    <row r="64" ht="22.5" customHeight="1">
      <c r="A64" s="13" t="s">
        <v>85</v>
      </c>
      <c r="B64" s="24">
        <v>147222.88</v>
      </c>
      <c r="C64" s="28"/>
      <c r="D64" s="35">
        <f t="shared" si="1"/>
        <v>-21031.84</v>
      </c>
      <c r="F64" s="24" t="s">
        <v>145</v>
      </c>
      <c r="G64" s="9" t="s">
        <v>145</v>
      </c>
      <c r="H64" s="9" t="s">
        <v>145</v>
      </c>
      <c r="I64" s="9" t="s">
        <v>145</v>
      </c>
    </row>
    <row r="65" ht="22.5" customHeight="1">
      <c r="A65" s="8" t="s">
        <v>89</v>
      </c>
      <c r="B65" s="24">
        <v>131021.35</v>
      </c>
      <c r="C65" s="28"/>
      <c r="D65" s="35">
        <f t="shared" si="1"/>
        <v>-18717.33571</v>
      </c>
      <c r="F65" s="24" t="s">
        <v>145</v>
      </c>
      <c r="G65" s="9" t="s">
        <v>145</v>
      </c>
      <c r="H65" s="9" t="s">
        <v>145</v>
      </c>
      <c r="I65" s="9" t="s">
        <v>145</v>
      </c>
    </row>
    <row r="66" ht="22.5" customHeight="1">
      <c r="A66" s="8" t="s">
        <v>92</v>
      </c>
      <c r="B66" s="24">
        <v>340798.943</v>
      </c>
      <c r="C66" s="28"/>
      <c r="D66" s="35">
        <f t="shared" si="1"/>
        <v>-48685.56329</v>
      </c>
      <c r="F66" s="24" t="s">
        <v>145</v>
      </c>
      <c r="G66" s="9" t="s">
        <v>145</v>
      </c>
      <c r="H66" s="9" t="s">
        <v>145</v>
      </c>
      <c r="I66" s="9" t="s">
        <v>145</v>
      </c>
    </row>
    <row r="67" ht="22.5" customHeight="1">
      <c r="A67" s="8" t="s">
        <v>94</v>
      </c>
      <c r="B67" s="24">
        <v>146644.7</v>
      </c>
      <c r="C67" s="28"/>
      <c r="D67" s="35">
        <f t="shared" si="1"/>
        <v>-20949.24286</v>
      </c>
      <c r="F67" s="24">
        <v>113400.0</v>
      </c>
      <c r="G67" s="36">
        <f t="shared" ref="G67:G68" si="29">B67-F67</f>
        <v>33244.7</v>
      </c>
      <c r="H67" s="36">
        <f t="shared" ref="H67:H68" si="30">G67/23</f>
        <v>1445.421739</v>
      </c>
      <c r="I67" s="36" t="str">
        <f t="shared" ref="I67:I68" si="31">IF(H67&gt;=PERCENTILE(H:H,0.9),"S Tier",
 IF(H67&gt;=PERCENTILE(H:H,0.7),"A Tier",
 IF(H67&gt;=PERCENTILE(H:H,0.5),"B Tier", IF(H67&gt;=PERCENTILE(H:H,0.3),"C Tier",
 IF(H67&gt;=PERCENTILE(H:H,0.1),"D Tier","E Tier")))))</f>
        <v>C Tier</v>
      </c>
    </row>
    <row r="68" ht="22.5" customHeight="1">
      <c r="A68" s="8" t="s">
        <v>97</v>
      </c>
      <c r="B68" s="24">
        <v>190368.54</v>
      </c>
      <c r="C68" s="28"/>
      <c r="D68" s="35">
        <f t="shared" si="1"/>
        <v>-27195.50571</v>
      </c>
      <c r="F68" s="24">
        <v>162600.0</v>
      </c>
      <c r="G68" s="36">
        <f t="shared" si="29"/>
        <v>27768.54</v>
      </c>
      <c r="H68" s="36">
        <f t="shared" si="30"/>
        <v>1207.327826</v>
      </c>
      <c r="I68" s="36" t="str">
        <f t="shared" si="31"/>
        <v>D Tier</v>
      </c>
    </row>
    <row r="69" ht="22.5" customHeight="1">
      <c r="A69" s="8" t="s">
        <v>101</v>
      </c>
      <c r="B69" s="24">
        <v>139086.87</v>
      </c>
      <c r="C69" s="28"/>
      <c r="D69" s="35">
        <f t="shared" si="1"/>
        <v>-19869.55286</v>
      </c>
      <c r="F69" s="24" t="s">
        <v>145</v>
      </c>
      <c r="G69" s="9" t="s">
        <v>145</v>
      </c>
      <c r="H69" s="9" t="s">
        <v>145</v>
      </c>
      <c r="I69" s="9" t="s">
        <v>145</v>
      </c>
    </row>
    <row r="70" ht="22.5" customHeight="1">
      <c r="A70" s="8" t="s">
        <v>103</v>
      </c>
      <c r="B70" s="24">
        <v>126233.26</v>
      </c>
      <c r="C70" s="28"/>
      <c r="D70" s="35">
        <f t="shared" si="1"/>
        <v>-18033.32286</v>
      </c>
      <c r="F70" s="24">
        <v>102400.0</v>
      </c>
      <c r="G70" s="36">
        <f t="shared" ref="G70:G71" si="32">B70-F70</f>
        <v>23833.26</v>
      </c>
      <c r="H70" s="36">
        <f t="shared" ref="H70:H71" si="33">G70/23</f>
        <v>1036.228696</v>
      </c>
      <c r="I70" s="36" t="str">
        <f t="shared" ref="I70:I71" si="34">IF(H70&gt;=PERCENTILE(H:H,0.9),"S Tier",
 IF(H70&gt;=PERCENTILE(H:H,0.7),"A Tier",
 IF(H70&gt;=PERCENTILE(H:H,0.5),"B Tier", IF(H70&gt;=PERCENTILE(H:H,0.3),"C Tier",
 IF(H70&gt;=PERCENTILE(H:H,0.1),"D Tier","E Tier")))))</f>
        <v>D Tier</v>
      </c>
    </row>
    <row r="71" ht="22.5" customHeight="1">
      <c r="A71" s="8" t="s">
        <v>105</v>
      </c>
      <c r="B71" s="24">
        <v>126361.2</v>
      </c>
      <c r="C71" s="28"/>
      <c r="D71" s="35">
        <f t="shared" si="1"/>
        <v>-18051.6</v>
      </c>
      <c r="F71" s="24">
        <v>103400.0</v>
      </c>
      <c r="G71" s="36">
        <f t="shared" si="32"/>
        <v>22961.2</v>
      </c>
      <c r="H71" s="36">
        <f t="shared" si="33"/>
        <v>998.3130435</v>
      </c>
      <c r="I71" s="36" t="str">
        <f t="shared" si="34"/>
        <v>D Tier</v>
      </c>
    </row>
    <row r="72" ht="22.5" customHeight="1">
      <c r="A72" s="8" t="s">
        <v>107</v>
      </c>
      <c r="B72" s="24">
        <v>159228.51</v>
      </c>
      <c r="C72" s="28"/>
      <c r="D72" s="35">
        <f t="shared" si="1"/>
        <v>-22746.93</v>
      </c>
      <c r="F72" s="24" t="s">
        <v>145</v>
      </c>
      <c r="G72" s="9" t="s">
        <v>145</v>
      </c>
      <c r="H72" s="9" t="s">
        <v>145</v>
      </c>
      <c r="I72" s="9" t="s">
        <v>145</v>
      </c>
    </row>
    <row r="73" ht="22.5" customHeight="1">
      <c r="A73" s="8" t="s">
        <v>109</v>
      </c>
      <c r="B73" s="24">
        <v>152476.02</v>
      </c>
      <c r="C73" s="28"/>
      <c r="D73" s="35">
        <f t="shared" si="1"/>
        <v>-21782.28857</v>
      </c>
      <c r="F73" s="24" t="s">
        <v>145</v>
      </c>
      <c r="G73" s="9" t="s">
        <v>145</v>
      </c>
      <c r="H73" s="9" t="s">
        <v>145</v>
      </c>
      <c r="I73" s="9" t="s">
        <v>145</v>
      </c>
    </row>
    <row r="74" ht="22.5" customHeight="1">
      <c r="A74" s="8" t="s">
        <v>111</v>
      </c>
      <c r="B74" s="24">
        <v>168849.13</v>
      </c>
      <c r="C74" s="28"/>
      <c r="D74" s="35">
        <f t="shared" si="1"/>
        <v>-24121.30429</v>
      </c>
      <c r="F74" s="24" t="s">
        <v>145</v>
      </c>
      <c r="G74" s="9" t="s">
        <v>145</v>
      </c>
      <c r="H74" s="9" t="s">
        <v>145</v>
      </c>
      <c r="I74" s="9" t="s">
        <v>145</v>
      </c>
    </row>
    <row r="75" ht="22.5" customHeight="1">
      <c r="A75" s="8" t="s">
        <v>113</v>
      </c>
      <c r="B75" s="24">
        <v>132157.24</v>
      </c>
      <c r="C75" s="28"/>
      <c r="D75" s="35">
        <f t="shared" si="1"/>
        <v>-18879.60571</v>
      </c>
      <c r="F75" s="24" t="s">
        <v>145</v>
      </c>
      <c r="G75" s="9" t="s">
        <v>145</v>
      </c>
      <c r="H75" s="9" t="s">
        <v>145</v>
      </c>
      <c r="I75" s="9" t="s">
        <v>145</v>
      </c>
    </row>
    <row r="76" ht="22.5" customHeight="1">
      <c r="A76" s="8" t="s">
        <v>115</v>
      </c>
      <c r="B76" s="24">
        <v>229147.66</v>
      </c>
      <c r="C76" s="28"/>
      <c r="D76" s="35">
        <f t="shared" si="1"/>
        <v>-32735.38</v>
      </c>
      <c r="F76" s="24" t="s">
        <v>145</v>
      </c>
      <c r="G76" s="9" t="s">
        <v>145</v>
      </c>
      <c r="H76" s="9" t="s">
        <v>145</v>
      </c>
      <c r="I76" s="9" t="s">
        <v>145</v>
      </c>
    </row>
    <row r="77" ht="22.5" customHeight="1">
      <c r="A77" s="8" t="s">
        <v>46</v>
      </c>
      <c r="B77" s="24">
        <v>136981.08</v>
      </c>
      <c r="C77" s="28"/>
      <c r="D77" s="35">
        <f t="shared" si="1"/>
        <v>-19568.72571</v>
      </c>
      <c r="F77" s="24">
        <v>104500.0</v>
      </c>
      <c r="G77" s="36">
        <f>B77-F77</f>
        <v>32481.08</v>
      </c>
      <c r="H77" s="36">
        <f>G77/23</f>
        <v>1412.22087</v>
      </c>
      <c r="I77" s="36" t="str">
        <f>IF(H77&gt;=PERCENTILE(H:H,0.9),"S Tier",
 IF(H77&gt;=PERCENTILE(H:H,0.7),"A Tier",
 IF(H77&gt;=PERCENTILE(H:H,0.5),"B Tier", IF(H77&gt;=PERCENTILE(H:H,0.3),"C Tier",
 IF(H77&gt;=PERCENTILE(H:H,0.1),"D Tier","E Tier")))))</f>
        <v>D Tier</v>
      </c>
    </row>
    <row r="78" ht="22.5" customHeight="1">
      <c r="A78" s="10" t="s">
        <v>132</v>
      </c>
      <c r="B78" s="24">
        <v>121486.96</v>
      </c>
      <c r="C78" s="28"/>
      <c r="D78" s="35">
        <f t="shared" si="1"/>
        <v>-17355.28</v>
      </c>
      <c r="F78" s="24" t="s">
        <v>145</v>
      </c>
      <c r="G78" s="9" t="s">
        <v>145</v>
      </c>
      <c r="H78" s="9" t="s">
        <v>145</v>
      </c>
      <c r="I78" s="9" t="s">
        <v>145</v>
      </c>
    </row>
    <row r="79" ht="22.5" customHeight="1">
      <c r="A79" s="23" t="s">
        <v>79</v>
      </c>
      <c r="B79" s="24">
        <v>106964.11</v>
      </c>
      <c r="C79" s="28"/>
      <c r="D79" s="35">
        <f t="shared" si="1"/>
        <v>-15280.58714</v>
      </c>
      <c r="F79" s="24">
        <v>83400.0</v>
      </c>
      <c r="G79" s="36">
        <f>B79-F79</f>
        <v>23564.11</v>
      </c>
      <c r="H79" s="36">
        <f>G79/23</f>
        <v>1024.526522</v>
      </c>
      <c r="I79" s="36" t="str">
        <f>IF(H79&gt;=PERCENTILE(H:H,0.9),"S Tier",
 IF(H79&gt;=PERCENTILE(H:H,0.7),"A Tier",
 IF(H79&gt;=PERCENTILE(H:H,0.5),"B Tier", IF(H79&gt;=PERCENTILE(H:H,0.3),"C Tier",
 IF(H79&gt;=PERCENTILE(H:H,0.1),"D Tier","E Tier")))))</f>
        <v>D Tier</v>
      </c>
    </row>
    <row r="80" ht="22.5" customHeight="1">
      <c r="A80" s="23" t="s">
        <v>82</v>
      </c>
      <c r="B80" s="24">
        <v>122207.92</v>
      </c>
      <c r="C80" s="28"/>
      <c r="D80" s="35">
        <f t="shared" si="1"/>
        <v>-17458.27429</v>
      </c>
      <c r="F80" s="24" t="s">
        <v>145</v>
      </c>
      <c r="G80" s="9" t="s">
        <v>145</v>
      </c>
      <c r="H80" s="9" t="s">
        <v>145</v>
      </c>
      <c r="I80" s="9" t="s">
        <v>145</v>
      </c>
    </row>
    <row r="81" ht="22.5" customHeight="1">
      <c r="A81" s="23" t="s">
        <v>84</v>
      </c>
      <c r="B81" s="24">
        <v>96804.32</v>
      </c>
      <c r="C81" s="28"/>
      <c r="D81" s="35">
        <f t="shared" si="1"/>
        <v>-13829.18857</v>
      </c>
      <c r="F81" s="24">
        <v>76400.0</v>
      </c>
      <c r="G81" s="36">
        <f t="shared" ref="G81:G84" si="35">B81-F81</f>
        <v>20404.32</v>
      </c>
      <c r="H81" s="36">
        <f t="shared" ref="H81:H84" si="36">G81/23</f>
        <v>887.1443478</v>
      </c>
      <c r="I81" s="36" t="str">
        <f t="shared" ref="I81:I84" si="37">IF(H81&gt;=PERCENTILE(H:H,0.9),"S Tier",
 IF(H81&gt;=PERCENTILE(H:H,0.7),"A Tier",
 IF(H81&gt;=PERCENTILE(H:H,0.5),"B Tier", IF(H81&gt;=PERCENTILE(H:H,0.3),"C Tier",
 IF(H81&gt;=PERCENTILE(H:H,0.1),"D Tier","E Tier")))))</f>
        <v>E Tier</v>
      </c>
    </row>
    <row r="82" ht="22.5" customHeight="1">
      <c r="A82" s="23" t="s">
        <v>86</v>
      </c>
      <c r="B82" s="24">
        <v>118919.83</v>
      </c>
      <c r="C82" s="28"/>
      <c r="D82" s="35">
        <f t="shared" si="1"/>
        <v>-16988.54714</v>
      </c>
      <c r="F82" s="24">
        <v>87100.0</v>
      </c>
      <c r="G82" s="36">
        <f t="shared" si="35"/>
        <v>31819.83</v>
      </c>
      <c r="H82" s="36">
        <f t="shared" si="36"/>
        <v>1383.47087</v>
      </c>
      <c r="I82" s="36" t="str">
        <f t="shared" si="37"/>
        <v>D Tier</v>
      </c>
    </row>
    <row r="83" ht="22.5" customHeight="1">
      <c r="A83" s="23" t="s">
        <v>90</v>
      </c>
      <c r="B83" s="24">
        <v>121175.0</v>
      </c>
      <c r="C83" s="28"/>
      <c r="D83" s="35">
        <f t="shared" si="1"/>
        <v>-17310.71429</v>
      </c>
      <c r="F83" s="24">
        <v>85200.0</v>
      </c>
      <c r="G83" s="36">
        <f t="shared" si="35"/>
        <v>35975</v>
      </c>
      <c r="H83" s="36">
        <f t="shared" si="36"/>
        <v>1564.130435</v>
      </c>
      <c r="I83" s="36" t="str">
        <f t="shared" si="37"/>
        <v>C Tier</v>
      </c>
    </row>
    <row r="84" ht="22.5" customHeight="1">
      <c r="A84" s="23" t="s">
        <v>93</v>
      </c>
      <c r="B84" s="24">
        <v>96001.97</v>
      </c>
      <c r="C84" s="28"/>
      <c r="D84" s="35">
        <f t="shared" si="1"/>
        <v>-13714.56714</v>
      </c>
      <c r="F84" s="24">
        <v>71000.0</v>
      </c>
      <c r="G84" s="36">
        <f t="shared" si="35"/>
        <v>25001.97</v>
      </c>
      <c r="H84" s="36">
        <f t="shared" si="36"/>
        <v>1087.042174</v>
      </c>
      <c r="I84" s="36" t="str">
        <f t="shared" si="37"/>
        <v>D Tier</v>
      </c>
    </row>
    <row r="85" ht="22.5" customHeight="1">
      <c r="A85" s="23" t="s">
        <v>100</v>
      </c>
      <c r="B85" s="24">
        <v>103800.81</v>
      </c>
      <c r="C85" s="28"/>
      <c r="D85" s="35">
        <f t="shared" si="1"/>
        <v>-14828.68714</v>
      </c>
      <c r="F85" s="24" t="s">
        <v>145</v>
      </c>
      <c r="G85" s="9" t="s">
        <v>145</v>
      </c>
      <c r="H85" s="9" t="s">
        <v>145</v>
      </c>
      <c r="I85" s="9" t="s">
        <v>145</v>
      </c>
    </row>
    <row r="86" ht="22.5" customHeight="1">
      <c r="A86" s="23" t="s">
        <v>104</v>
      </c>
      <c r="B86" s="24">
        <v>149395.12</v>
      </c>
      <c r="C86" s="28"/>
      <c r="D86" s="35">
        <f t="shared" si="1"/>
        <v>-21342.16</v>
      </c>
      <c r="F86" s="24" t="s">
        <v>145</v>
      </c>
      <c r="G86" s="9" t="s">
        <v>145</v>
      </c>
      <c r="H86" s="9" t="s">
        <v>145</v>
      </c>
      <c r="I86" s="9" t="s">
        <v>145</v>
      </c>
    </row>
    <row r="87" ht="22.5" customHeight="1">
      <c r="A87" s="23" t="s">
        <v>110</v>
      </c>
      <c r="B87" s="24">
        <v>125907.43</v>
      </c>
      <c r="C87" s="28"/>
      <c r="D87" s="35">
        <f t="shared" si="1"/>
        <v>-17986.77571</v>
      </c>
      <c r="F87" s="24">
        <v>92200.0</v>
      </c>
      <c r="G87" s="36">
        <f>B87-F87</f>
        <v>33707.43</v>
      </c>
      <c r="H87" s="36">
        <f>G87/23</f>
        <v>1465.540435</v>
      </c>
      <c r="I87" s="36" t="str">
        <f>IF(H87&gt;=PERCENTILE(H:H,0.9),"S Tier",
 IF(H87&gt;=PERCENTILE(H:H,0.7),"A Tier",
 IF(H87&gt;=PERCENTILE(H:H,0.5),"B Tier",
 "C Tier")))</f>
        <v>C Tier</v>
      </c>
    </row>
    <row r="88" ht="22.5" customHeight="1">
      <c r="A88" s="23" t="s">
        <v>124</v>
      </c>
      <c r="B88" s="24">
        <v>92342.79</v>
      </c>
      <c r="C88" s="28"/>
      <c r="D88" s="35">
        <f t="shared" si="1"/>
        <v>-13191.82714</v>
      </c>
      <c r="F88" s="24" t="s">
        <v>145</v>
      </c>
      <c r="G88" s="9" t="s">
        <v>145</v>
      </c>
      <c r="H88" s="9" t="s">
        <v>145</v>
      </c>
      <c r="I88" s="9" t="s">
        <v>145</v>
      </c>
    </row>
    <row r="89" ht="22.5" customHeight="1">
      <c r="A89" s="23" t="s">
        <v>122</v>
      </c>
      <c r="B89" s="24">
        <v>125419.53</v>
      </c>
      <c r="C89" s="28"/>
      <c r="D89" s="35">
        <f t="shared" si="1"/>
        <v>-17917.07571</v>
      </c>
      <c r="F89" s="24" t="s">
        <v>145</v>
      </c>
      <c r="G89" s="9" t="s">
        <v>145</v>
      </c>
      <c r="H89" s="9" t="s">
        <v>145</v>
      </c>
      <c r="I89" s="9" t="s">
        <v>145</v>
      </c>
    </row>
    <row r="90" ht="22.5" customHeight="1">
      <c r="A90" s="23" t="s">
        <v>114</v>
      </c>
      <c r="B90" s="24">
        <v>120677.33</v>
      </c>
      <c r="C90" s="28"/>
      <c r="D90" s="35">
        <f t="shared" si="1"/>
        <v>-17239.61857</v>
      </c>
      <c r="F90" s="24" t="s">
        <v>145</v>
      </c>
      <c r="G90" s="9" t="s">
        <v>145</v>
      </c>
      <c r="H90" s="9" t="s">
        <v>145</v>
      </c>
      <c r="I90" s="9" t="s">
        <v>145</v>
      </c>
    </row>
    <row r="91" ht="22.5" customHeight="1">
      <c r="A91" s="23" t="s">
        <v>127</v>
      </c>
      <c r="B91" s="24">
        <v>75184.64</v>
      </c>
      <c r="C91" s="28"/>
      <c r="D91" s="35">
        <f t="shared" si="1"/>
        <v>-10740.66286</v>
      </c>
      <c r="F91" s="24" t="s">
        <v>145</v>
      </c>
      <c r="G91" s="9" t="s">
        <v>145</v>
      </c>
      <c r="H91" s="9" t="s">
        <v>145</v>
      </c>
      <c r="I91" s="9" t="s">
        <v>145</v>
      </c>
    </row>
    <row r="92" ht="22.5" customHeight="1">
      <c r="A92" s="25" t="s">
        <v>154</v>
      </c>
      <c r="B92" s="24">
        <v>133495.86</v>
      </c>
      <c r="D92" s="35">
        <f t="shared" si="1"/>
        <v>-19070.83714</v>
      </c>
      <c r="F92" s="24" t="s">
        <v>145</v>
      </c>
      <c r="G92" s="9" t="s">
        <v>145</v>
      </c>
      <c r="H92" s="9" t="s">
        <v>145</v>
      </c>
      <c r="I92" s="9" t="s">
        <v>145</v>
      </c>
    </row>
    <row r="93" ht="22.5" customHeight="1">
      <c r="A93" s="26" t="s">
        <v>155</v>
      </c>
      <c r="B93" s="24">
        <v>152651.42</v>
      </c>
      <c r="C93" s="28"/>
      <c r="D93" s="35">
        <f t="shared" si="1"/>
        <v>-21807.34571</v>
      </c>
      <c r="F93" s="24" t="s">
        <v>145</v>
      </c>
      <c r="G93" s="9" t="s">
        <v>145</v>
      </c>
      <c r="H93" s="9" t="s">
        <v>145</v>
      </c>
      <c r="I93" s="9" t="s">
        <v>145</v>
      </c>
    </row>
    <row r="94" ht="22.5" customHeight="1">
      <c r="A94" s="26" t="s">
        <v>156</v>
      </c>
      <c r="B94" s="24">
        <v>200691.33</v>
      </c>
      <c r="C94" s="28"/>
      <c r="D94" s="35">
        <f t="shared" si="1"/>
        <v>-28670.19</v>
      </c>
      <c r="F94" s="24" t="s">
        <v>145</v>
      </c>
      <c r="G94" s="9" t="s">
        <v>145</v>
      </c>
      <c r="H94" s="9" t="s">
        <v>145</v>
      </c>
      <c r="I94" s="9" t="s">
        <v>145</v>
      </c>
    </row>
    <row r="95" ht="22.5" customHeight="1">
      <c r="A95" s="26" t="s">
        <v>157</v>
      </c>
      <c r="B95" s="24">
        <v>130456.02</v>
      </c>
      <c r="C95" s="28"/>
      <c r="D95" s="35">
        <f t="shared" si="1"/>
        <v>-18636.57429</v>
      </c>
      <c r="F95" s="24" t="s">
        <v>145</v>
      </c>
      <c r="G95" s="9" t="s">
        <v>145</v>
      </c>
      <c r="H95" s="9" t="s">
        <v>145</v>
      </c>
      <c r="I95" s="9" t="s">
        <v>145</v>
      </c>
    </row>
    <row r="96" ht="22.5" customHeight="1">
      <c r="A96" s="26" t="s">
        <v>158</v>
      </c>
      <c r="B96" s="24">
        <v>141840.96</v>
      </c>
      <c r="C96" s="28"/>
      <c r="D96" s="35">
        <f t="shared" si="1"/>
        <v>-20262.99429</v>
      </c>
      <c r="F96" s="24" t="s">
        <v>145</v>
      </c>
      <c r="G96" s="9" t="s">
        <v>145</v>
      </c>
      <c r="H96" s="9" t="s">
        <v>145</v>
      </c>
      <c r="I96" s="9" t="s">
        <v>145</v>
      </c>
    </row>
    <row r="97" ht="22.5" customHeight="1">
      <c r="A97" s="26" t="s">
        <v>159</v>
      </c>
      <c r="B97" s="24">
        <v>144325.59</v>
      </c>
      <c r="C97" s="28"/>
      <c r="D97" s="35">
        <f t="shared" si="1"/>
        <v>-20617.94143</v>
      </c>
      <c r="F97" s="24" t="s">
        <v>145</v>
      </c>
      <c r="G97" s="9" t="s">
        <v>145</v>
      </c>
      <c r="H97" s="9" t="s">
        <v>145</v>
      </c>
      <c r="I97" s="9" t="s">
        <v>145</v>
      </c>
    </row>
    <row r="98" ht="22.5" customHeight="1">
      <c r="A98" s="26" t="s">
        <v>160</v>
      </c>
      <c r="B98" s="24">
        <v>164305.38</v>
      </c>
      <c r="C98" s="28"/>
      <c r="D98" s="35">
        <f t="shared" si="1"/>
        <v>-23472.19714</v>
      </c>
      <c r="F98" s="24" t="s">
        <v>145</v>
      </c>
      <c r="G98" s="9" t="s">
        <v>145</v>
      </c>
      <c r="H98" s="9" t="s">
        <v>145</v>
      </c>
      <c r="I98" s="9" t="s">
        <v>145</v>
      </c>
    </row>
    <row r="99" ht="22.5" customHeight="1">
      <c r="A99" s="26" t="s">
        <v>161</v>
      </c>
      <c r="B99" s="24">
        <v>189763.781</v>
      </c>
      <c r="C99" s="28"/>
      <c r="D99" s="35">
        <f t="shared" si="1"/>
        <v>-27109.11157</v>
      </c>
      <c r="F99" s="24" t="s">
        <v>145</v>
      </c>
      <c r="G99" s="9" t="s">
        <v>145</v>
      </c>
      <c r="H99" s="9" t="s">
        <v>145</v>
      </c>
      <c r="I99" s="9" t="s">
        <v>145</v>
      </c>
    </row>
    <row r="100" ht="22.5" customHeight="1">
      <c r="A100" s="26" t="s">
        <v>162</v>
      </c>
      <c r="B100" s="24">
        <v>151109.44</v>
      </c>
      <c r="C100" s="28"/>
      <c r="D100" s="35">
        <f t="shared" si="1"/>
        <v>-21587.06286</v>
      </c>
      <c r="F100" s="24" t="s">
        <v>145</v>
      </c>
      <c r="G100" s="9" t="s">
        <v>145</v>
      </c>
      <c r="H100" s="9" t="s">
        <v>145</v>
      </c>
      <c r="I100" s="9" t="s">
        <v>145</v>
      </c>
    </row>
    <row r="101" ht="22.5" customHeight="1">
      <c r="A101" s="26" t="s">
        <v>163</v>
      </c>
      <c r="B101" s="24">
        <v>151510.24</v>
      </c>
      <c r="C101" s="28"/>
      <c r="D101" s="35">
        <f t="shared" si="1"/>
        <v>-21644.32</v>
      </c>
      <c r="F101" s="24" t="s">
        <v>145</v>
      </c>
      <c r="G101" s="9" t="s">
        <v>145</v>
      </c>
      <c r="H101" s="9" t="s">
        <v>145</v>
      </c>
      <c r="I101" s="9" t="s">
        <v>145</v>
      </c>
    </row>
    <row r="102">
      <c r="B102" s="37"/>
      <c r="I102" s="37"/>
    </row>
    <row r="103">
      <c r="B103" s="37"/>
      <c r="I103" s="37"/>
    </row>
    <row r="104">
      <c r="B104" s="37"/>
      <c r="I104" s="37"/>
    </row>
    <row r="105">
      <c r="B105" s="37"/>
      <c r="I105" s="37"/>
    </row>
    <row r="106">
      <c r="B106" s="37"/>
      <c r="I106" s="37"/>
    </row>
    <row r="107">
      <c r="B107" s="37"/>
      <c r="I107" s="37"/>
    </row>
    <row r="108">
      <c r="B108" s="37"/>
      <c r="I108" s="37"/>
    </row>
    <row r="109">
      <c r="B109" s="37"/>
      <c r="I109" s="37"/>
    </row>
    <row r="110">
      <c r="B110" s="37"/>
      <c r="I110" s="37"/>
    </row>
    <row r="111">
      <c r="B111" s="37"/>
      <c r="I111" s="37"/>
    </row>
    <row r="112">
      <c r="B112" s="37"/>
      <c r="I112" s="37"/>
    </row>
    <row r="113">
      <c r="B113" s="37"/>
      <c r="I113" s="37"/>
    </row>
    <row r="114">
      <c r="B114" s="37"/>
      <c r="I114" s="37"/>
    </row>
    <row r="115">
      <c r="B115" s="37"/>
      <c r="I115" s="37"/>
    </row>
    <row r="116">
      <c r="B116" s="37"/>
      <c r="I116" s="37"/>
    </row>
    <row r="117">
      <c r="B117" s="37"/>
      <c r="I117" s="37"/>
    </row>
    <row r="118">
      <c r="B118" s="37"/>
      <c r="I118" s="37"/>
    </row>
    <row r="119">
      <c r="B119" s="37"/>
      <c r="I119" s="37"/>
    </row>
    <row r="120">
      <c r="B120" s="37"/>
      <c r="I120" s="37"/>
    </row>
    <row r="121">
      <c r="B121" s="37"/>
      <c r="I121" s="37"/>
    </row>
    <row r="122">
      <c r="B122" s="37"/>
      <c r="I122" s="37"/>
    </row>
    <row r="123">
      <c r="B123" s="37"/>
      <c r="I123" s="37"/>
    </row>
    <row r="124">
      <c r="B124" s="37"/>
      <c r="I124" s="37"/>
    </row>
    <row r="125">
      <c r="B125" s="37"/>
      <c r="I125" s="37"/>
    </row>
    <row r="126">
      <c r="B126" s="37"/>
      <c r="I126" s="37"/>
    </row>
    <row r="127">
      <c r="B127" s="37"/>
      <c r="I127" s="37"/>
    </row>
    <row r="128">
      <c r="B128" s="37"/>
      <c r="I128" s="37"/>
    </row>
    <row r="129">
      <c r="B129" s="37"/>
      <c r="I129" s="37"/>
    </row>
    <row r="130">
      <c r="B130" s="37"/>
      <c r="I130" s="37"/>
    </row>
    <row r="131">
      <c r="B131" s="37"/>
      <c r="I131" s="37"/>
    </row>
    <row r="132">
      <c r="B132" s="37"/>
      <c r="I132" s="37"/>
    </row>
    <row r="133">
      <c r="B133" s="37"/>
      <c r="I133" s="37"/>
    </row>
    <row r="134">
      <c r="B134" s="37"/>
      <c r="I134" s="37"/>
    </row>
    <row r="135">
      <c r="B135" s="37"/>
      <c r="I135" s="37"/>
    </row>
    <row r="136">
      <c r="B136" s="37"/>
      <c r="I136" s="37"/>
    </row>
    <row r="137">
      <c r="B137" s="37"/>
      <c r="I137" s="37"/>
    </row>
    <row r="138">
      <c r="B138" s="37"/>
      <c r="I138" s="37"/>
    </row>
    <row r="139">
      <c r="B139" s="37"/>
      <c r="I139" s="37"/>
    </row>
    <row r="140">
      <c r="B140" s="37"/>
      <c r="I140" s="37"/>
    </row>
    <row r="141">
      <c r="B141" s="37"/>
      <c r="I141" s="37"/>
    </row>
    <row r="142">
      <c r="B142" s="37"/>
      <c r="I142" s="37"/>
    </row>
    <row r="143">
      <c r="B143" s="37"/>
      <c r="I143" s="37"/>
    </row>
    <row r="144">
      <c r="B144" s="37"/>
      <c r="I144" s="37"/>
    </row>
    <row r="145">
      <c r="B145" s="37"/>
      <c r="I145" s="37"/>
    </row>
    <row r="146">
      <c r="B146" s="37"/>
      <c r="I146" s="37"/>
    </row>
    <row r="147">
      <c r="B147" s="37"/>
      <c r="I147" s="37"/>
    </row>
    <row r="148">
      <c r="B148" s="37"/>
      <c r="I148" s="37"/>
    </row>
    <row r="149">
      <c r="B149" s="37"/>
      <c r="I149" s="37"/>
    </row>
    <row r="150">
      <c r="B150" s="37"/>
      <c r="I150" s="37"/>
    </row>
    <row r="151">
      <c r="B151" s="37"/>
      <c r="I151" s="37"/>
    </row>
    <row r="152">
      <c r="B152" s="37"/>
      <c r="I152" s="37"/>
    </row>
    <row r="153">
      <c r="B153" s="37"/>
      <c r="I153" s="37"/>
    </row>
    <row r="154">
      <c r="B154" s="37"/>
      <c r="I154" s="37"/>
    </row>
    <row r="155">
      <c r="B155" s="37"/>
      <c r="I155" s="37"/>
    </row>
    <row r="156">
      <c r="B156" s="37"/>
      <c r="I156" s="37"/>
    </row>
    <row r="157">
      <c r="B157" s="37"/>
      <c r="I157" s="37"/>
    </row>
    <row r="158">
      <c r="B158" s="37"/>
      <c r="I158" s="37"/>
    </row>
    <row r="159">
      <c r="B159" s="37"/>
      <c r="I159" s="37"/>
    </row>
    <row r="160">
      <c r="B160" s="37"/>
      <c r="I160" s="37"/>
    </row>
    <row r="161">
      <c r="B161" s="37"/>
      <c r="I161" s="37"/>
    </row>
    <row r="162">
      <c r="B162" s="37"/>
      <c r="I162" s="37"/>
    </row>
    <row r="163">
      <c r="B163" s="37"/>
      <c r="I163" s="37"/>
    </row>
    <row r="164">
      <c r="B164" s="37"/>
      <c r="I164" s="37"/>
    </row>
    <row r="165">
      <c r="B165" s="37"/>
      <c r="I165" s="37"/>
    </row>
    <row r="166">
      <c r="B166" s="37"/>
      <c r="I166" s="37"/>
    </row>
    <row r="167">
      <c r="B167" s="37"/>
      <c r="I167" s="37"/>
    </row>
    <row r="168">
      <c r="B168" s="37"/>
      <c r="I168" s="37"/>
    </row>
    <row r="169">
      <c r="B169" s="37"/>
      <c r="I169" s="37"/>
    </row>
    <row r="170">
      <c r="B170" s="37"/>
      <c r="I170" s="37"/>
    </row>
    <row r="171">
      <c r="B171" s="37"/>
      <c r="I171" s="37"/>
    </row>
    <row r="172">
      <c r="B172" s="37"/>
      <c r="I172" s="37"/>
    </row>
    <row r="173">
      <c r="B173" s="37"/>
      <c r="I173" s="37"/>
    </row>
    <row r="174">
      <c r="B174" s="37"/>
      <c r="I174" s="37"/>
    </row>
    <row r="175">
      <c r="B175" s="37"/>
      <c r="I175" s="37"/>
    </row>
    <row r="176">
      <c r="B176" s="37"/>
      <c r="I176" s="37"/>
    </row>
    <row r="177">
      <c r="B177" s="37"/>
      <c r="I177" s="37"/>
    </row>
    <row r="178">
      <c r="B178" s="37"/>
      <c r="I178" s="37"/>
    </row>
    <row r="179">
      <c r="B179" s="37"/>
      <c r="I179" s="37"/>
    </row>
    <row r="180">
      <c r="B180" s="37"/>
      <c r="I180" s="37"/>
    </row>
    <row r="181">
      <c r="B181" s="37"/>
      <c r="I181" s="37"/>
    </row>
    <row r="182">
      <c r="B182" s="37"/>
      <c r="I182" s="37"/>
    </row>
    <row r="183">
      <c r="B183" s="37"/>
      <c r="I183" s="37"/>
    </row>
    <row r="184">
      <c r="B184" s="37"/>
      <c r="I184" s="37"/>
    </row>
    <row r="185">
      <c r="B185" s="37"/>
      <c r="I185" s="37"/>
    </row>
    <row r="186">
      <c r="B186" s="37"/>
      <c r="I186" s="37"/>
    </row>
    <row r="187">
      <c r="B187" s="37"/>
      <c r="I187" s="37"/>
    </row>
    <row r="188">
      <c r="B188" s="37"/>
      <c r="I188" s="37"/>
    </row>
    <row r="189">
      <c r="B189" s="37"/>
      <c r="I189" s="37"/>
    </row>
    <row r="190">
      <c r="B190" s="37"/>
      <c r="I190" s="37"/>
    </row>
    <row r="191">
      <c r="B191" s="37"/>
      <c r="I191" s="37"/>
    </row>
    <row r="192">
      <c r="B192" s="37"/>
      <c r="I192" s="37"/>
    </row>
    <row r="193">
      <c r="B193" s="37"/>
      <c r="I193" s="37"/>
    </row>
    <row r="194">
      <c r="B194" s="37"/>
      <c r="I194" s="37"/>
    </row>
    <row r="195">
      <c r="B195" s="37"/>
      <c r="I195" s="37"/>
    </row>
    <row r="196">
      <c r="B196" s="37"/>
      <c r="I196" s="37"/>
    </row>
    <row r="197">
      <c r="B197" s="37"/>
      <c r="I197" s="37"/>
    </row>
    <row r="198">
      <c r="B198" s="37"/>
      <c r="I198" s="37"/>
    </row>
    <row r="199">
      <c r="B199" s="37"/>
      <c r="I199" s="37"/>
    </row>
    <row r="200">
      <c r="B200" s="37"/>
      <c r="I200" s="37"/>
    </row>
    <row r="201">
      <c r="B201" s="37"/>
      <c r="I201" s="37"/>
    </row>
    <row r="202">
      <c r="B202" s="37"/>
      <c r="I202" s="37"/>
    </row>
    <row r="203">
      <c r="B203" s="37"/>
      <c r="I203" s="37"/>
    </row>
    <row r="204">
      <c r="B204" s="37"/>
      <c r="I204" s="37"/>
    </row>
    <row r="205">
      <c r="B205" s="37"/>
      <c r="I205" s="37"/>
    </row>
    <row r="206">
      <c r="B206" s="37"/>
      <c r="I206" s="37"/>
    </row>
    <row r="207">
      <c r="B207" s="37"/>
      <c r="I207" s="37"/>
    </row>
    <row r="208">
      <c r="B208" s="37"/>
      <c r="I208" s="37"/>
    </row>
    <row r="209">
      <c r="B209" s="37"/>
      <c r="I209" s="37"/>
    </row>
    <row r="210">
      <c r="B210" s="37"/>
      <c r="I210" s="37"/>
    </row>
    <row r="211">
      <c r="B211" s="37"/>
      <c r="I211" s="37"/>
    </row>
    <row r="212">
      <c r="B212" s="37"/>
      <c r="I212" s="37"/>
    </row>
    <row r="213">
      <c r="B213" s="37"/>
      <c r="I213" s="37"/>
    </row>
    <row r="214">
      <c r="B214" s="37"/>
      <c r="I214" s="37"/>
    </row>
    <row r="215">
      <c r="B215" s="37"/>
      <c r="I215" s="37"/>
    </row>
    <row r="216">
      <c r="B216" s="37"/>
      <c r="I216" s="37"/>
    </row>
    <row r="217">
      <c r="B217" s="37"/>
      <c r="I217" s="37"/>
    </row>
    <row r="218">
      <c r="B218" s="37"/>
      <c r="I218" s="37"/>
    </row>
    <row r="219">
      <c r="B219" s="37"/>
      <c r="I219" s="37"/>
    </row>
    <row r="220">
      <c r="B220" s="37"/>
      <c r="I220" s="37"/>
    </row>
    <row r="221">
      <c r="B221" s="37"/>
      <c r="I221" s="37"/>
    </row>
    <row r="222">
      <c r="B222" s="37"/>
      <c r="I222" s="37"/>
    </row>
    <row r="223">
      <c r="B223" s="37"/>
      <c r="I223" s="37"/>
    </row>
    <row r="224">
      <c r="B224" s="37"/>
      <c r="I224" s="37"/>
    </row>
    <row r="225">
      <c r="B225" s="37"/>
      <c r="I225" s="37"/>
    </row>
    <row r="226">
      <c r="B226" s="37"/>
      <c r="I226" s="37"/>
    </row>
    <row r="227">
      <c r="B227" s="37"/>
      <c r="I227" s="37"/>
    </row>
    <row r="228">
      <c r="B228" s="37"/>
      <c r="I228" s="37"/>
    </row>
    <row r="229">
      <c r="B229" s="37"/>
      <c r="I229" s="37"/>
    </row>
    <row r="230">
      <c r="B230" s="37"/>
      <c r="I230" s="37"/>
    </row>
    <row r="231">
      <c r="B231" s="37"/>
      <c r="I231" s="37"/>
    </row>
    <row r="232">
      <c r="B232" s="37"/>
      <c r="I232" s="37"/>
    </row>
    <row r="233">
      <c r="B233" s="37"/>
      <c r="I233" s="37"/>
    </row>
    <row r="234">
      <c r="B234" s="37"/>
      <c r="I234" s="37"/>
    </row>
    <row r="235">
      <c r="B235" s="37"/>
      <c r="I235" s="37"/>
    </row>
    <row r="236">
      <c r="B236" s="37"/>
      <c r="I236" s="37"/>
    </row>
    <row r="237">
      <c r="B237" s="37"/>
      <c r="I237" s="37"/>
    </row>
    <row r="238">
      <c r="B238" s="37"/>
      <c r="I238" s="37"/>
    </row>
    <row r="239">
      <c r="B239" s="37"/>
      <c r="I239" s="37"/>
    </row>
    <row r="240">
      <c r="B240" s="37"/>
      <c r="I240" s="37"/>
    </row>
    <row r="241">
      <c r="B241" s="37"/>
      <c r="I241" s="37"/>
    </row>
    <row r="242">
      <c r="B242" s="37"/>
      <c r="I242" s="37"/>
    </row>
    <row r="243">
      <c r="B243" s="37"/>
      <c r="I243" s="37"/>
    </row>
    <row r="244">
      <c r="B244" s="37"/>
      <c r="I244" s="37"/>
    </row>
    <row r="245">
      <c r="B245" s="37"/>
      <c r="I245" s="37"/>
    </row>
    <row r="246">
      <c r="B246" s="37"/>
      <c r="I246" s="37"/>
    </row>
    <row r="247">
      <c r="B247" s="37"/>
      <c r="I247" s="37"/>
    </row>
    <row r="248">
      <c r="B248" s="37"/>
      <c r="I248" s="37"/>
    </row>
    <row r="249">
      <c r="B249" s="37"/>
      <c r="I249" s="37"/>
    </row>
    <row r="250">
      <c r="B250" s="37"/>
      <c r="I250" s="37"/>
    </row>
    <row r="251">
      <c r="B251" s="37"/>
      <c r="I251" s="37"/>
    </row>
    <row r="252">
      <c r="B252" s="37"/>
      <c r="I252" s="37"/>
    </row>
    <row r="253">
      <c r="B253" s="37"/>
      <c r="I253" s="37"/>
    </row>
    <row r="254">
      <c r="B254" s="37"/>
      <c r="I254" s="37"/>
    </row>
    <row r="255">
      <c r="B255" s="37"/>
      <c r="I255" s="37"/>
    </row>
    <row r="256">
      <c r="B256" s="37"/>
      <c r="I256" s="37"/>
    </row>
    <row r="257">
      <c r="B257" s="37"/>
      <c r="I257" s="37"/>
    </row>
    <row r="258">
      <c r="B258" s="37"/>
      <c r="I258" s="37"/>
    </row>
    <row r="259">
      <c r="B259" s="37"/>
      <c r="I259" s="37"/>
    </row>
    <row r="260">
      <c r="B260" s="37"/>
      <c r="I260" s="37"/>
    </row>
    <row r="261">
      <c r="B261" s="37"/>
      <c r="I261" s="37"/>
    </row>
    <row r="262">
      <c r="B262" s="37"/>
      <c r="I262" s="37"/>
    </row>
    <row r="263">
      <c r="B263" s="37"/>
      <c r="I263" s="37"/>
    </row>
    <row r="264">
      <c r="B264" s="37"/>
      <c r="I264" s="37"/>
    </row>
    <row r="265">
      <c r="B265" s="37"/>
      <c r="I265" s="37"/>
    </row>
    <row r="266">
      <c r="B266" s="37"/>
      <c r="I266" s="37"/>
    </row>
    <row r="267">
      <c r="B267" s="37"/>
      <c r="I267" s="37"/>
    </row>
    <row r="268">
      <c r="B268" s="37"/>
      <c r="I268" s="37"/>
    </row>
    <row r="269">
      <c r="B269" s="37"/>
      <c r="I269" s="37"/>
    </row>
    <row r="270">
      <c r="B270" s="37"/>
      <c r="I270" s="37"/>
    </row>
    <row r="271">
      <c r="B271" s="37"/>
      <c r="I271" s="37"/>
    </row>
    <row r="272">
      <c r="B272" s="37"/>
      <c r="I272" s="37"/>
    </row>
    <row r="273">
      <c r="B273" s="37"/>
      <c r="I273" s="37"/>
    </row>
    <row r="274">
      <c r="B274" s="37"/>
      <c r="I274" s="37"/>
    </row>
    <row r="275">
      <c r="B275" s="37"/>
      <c r="I275" s="37"/>
    </row>
    <row r="276">
      <c r="B276" s="37"/>
      <c r="I276" s="37"/>
    </row>
    <row r="277">
      <c r="B277" s="37"/>
      <c r="I277" s="37"/>
    </row>
    <row r="278">
      <c r="B278" s="37"/>
      <c r="I278" s="37"/>
    </row>
    <row r="279">
      <c r="B279" s="37"/>
      <c r="I279" s="37"/>
    </row>
    <row r="280">
      <c r="B280" s="37"/>
      <c r="I280" s="37"/>
    </row>
    <row r="281">
      <c r="B281" s="37"/>
      <c r="I281" s="37"/>
    </row>
    <row r="282">
      <c r="B282" s="37"/>
      <c r="I282" s="37"/>
    </row>
    <row r="283">
      <c r="B283" s="37"/>
      <c r="I283" s="37"/>
    </row>
    <row r="284">
      <c r="B284" s="37"/>
      <c r="I284" s="37"/>
    </row>
    <row r="285">
      <c r="B285" s="37"/>
      <c r="I285" s="37"/>
    </row>
    <row r="286">
      <c r="B286" s="37"/>
      <c r="I286" s="37"/>
    </row>
    <row r="287">
      <c r="B287" s="37"/>
      <c r="I287" s="37"/>
    </row>
    <row r="288">
      <c r="B288" s="37"/>
      <c r="I288" s="37"/>
    </row>
    <row r="289">
      <c r="B289" s="37"/>
      <c r="I289" s="37"/>
    </row>
    <row r="290">
      <c r="B290" s="37"/>
      <c r="I290" s="37"/>
    </row>
    <row r="291">
      <c r="B291" s="37"/>
      <c r="I291" s="37"/>
    </row>
    <row r="292">
      <c r="B292" s="37"/>
      <c r="I292" s="37"/>
    </row>
    <row r="293">
      <c r="B293" s="37"/>
      <c r="I293" s="37"/>
    </row>
    <row r="294">
      <c r="B294" s="37"/>
      <c r="I294" s="37"/>
    </row>
    <row r="295">
      <c r="B295" s="37"/>
      <c r="I295" s="37"/>
    </row>
    <row r="296">
      <c r="B296" s="37"/>
      <c r="I296" s="37"/>
    </row>
    <row r="297">
      <c r="B297" s="37"/>
      <c r="I297" s="37"/>
    </row>
    <row r="298">
      <c r="B298" s="37"/>
      <c r="I298" s="37"/>
    </row>
    <row r="299">
      <c r="B299" s="37"/>
      <c r="I299" s="37"/>
    </row>
    <row r="300">
      <c r="B300" s="37"/>
      <c r="I300" s="37"/>
    </row>
    <row r="301">
      <c r="B301" s="37"/>
      <c r="I301" s="37"/>
    </row>
    <row r="302">
      <c r="B302" s="37"/>
      <c r="I302" s="37"/>
    </row>
    <row r="303">
      <c r="B303" s="37"/>
      <c r="I303" s="37"/>
    </row>
    <row r="304">
      <c r="B304" s="37"/>
      <c r="I304" s="37"/>
    </row>
    <row r="305">
      <c r="B305" s="37"/>
      <c r="I305" s="37"/>
    </row>
    <row r="306">
      <c r="B306" s="37"/>
      <c r="I306" s="37"/>
    </row>
    <row r="307">
      <c r="B307" s="37"/>
      <c r="I307" s="37"/>
    </row>
    <row r="308">
      <c r="B308" s="37"/>
      <c r="I308" s="37"/>
    </row>
    <row r="309">
      <c r="B309" s="37"/>
      <c r="I309" s="37"/>
    </row>
    <row r="310">
      <c r="B310" s="37"/>
      <c r="I310" s="37"/>
    </row>
    <row r="311">
      <c r="B311" s="37"/>
      <c r="I311" s="37"/>
    </row>
    <row r="312">
      <c r="B312" s="37"/>
      <c r="I312" s="37"/>
    </row>
    <row r="313">
      <c r="B313" s="37"/>
      <c r="I313" s="37"/>
    </row>
    <row r="314">
      <c r="B314" s="37"/>
      <c r="I314" s="37"/>
    </row>
    <row r="315">
      <c r="B315" s="37"/>
      <c r="I315" s="37"/>
    </row>
    <row r="316">
      <c r="B316" s="37"/>
      <c r="I316" s="37"/>
    </row>
    <row r="317">
      <c r="B317" s="37"/>
      <c r="I317" s="37"/>
    </row>
    <row r="318">
      <c r="B318" s="37"/>
      <c r="I318" s="37"/>
    </row>
    <row r="319">
      <c r="B319" s="37"/>
      <c r="I319" s="37"/>
    </row>
    <row r="320">
      <c r="B320" s="37"/>
      <c r="I320" s="37"/>
    </row>
    <row r="321">
      <c r="B321" s="37"/>
      <c r="I321" s="37"/>
    </row>
    <row r="322">
      <c r="B322" s="37"/>
      <c r="I322" s="37"/>
    </row>
    <row r="323">
      <c r="B323" s="37"/>
      <c r="I323" s="37"/>
    </row>
    <row r="324">
      <c r="B324" s="37"/>
      <c r="I324" s="37"/>
    </row>
    <row r="325">
      <c r="B325" s="37"/>
      <c r="I325" s="37"/>
    </row>
    <row r="326">
      <c r="B326" s="37"/>
      <c r="I326" s="37"/>
    </row>
    <row r="327">
      <c r="B327" s="37"/>
      <c r="I327" s="37"/>
    </row>
    <row r="328">
      <c r="B328" s="37"/>
      <c r="I328" s="37"/>
    </row>
    <row r="329">
      <c r="B329" s="37"/>
      <c r="I329" s="37"/>
    </row>
    <row r="330">
      <c r="B330" s="37"/>
      <c r="I330" s="37"/>
    </row>
    <row r="331">
      <c r="B331" s="37"/>
      <c r="I331" s="37"/>
    </row>
    <row r="332">
      <c r="B332" s="37"/>
      <c r="I332" s="37"/>
    </row>
    <row r="333">
      <c r="B333" s="37"/>
      <c r="I333" s="37"/>
    </row>
    <row r="334">
      <c r="B334" s="37"/>
      <c r="I334" s="37"/>
    </row>
    <row r="335">
      <c r="B335" s="37"/>
      <c r="I335" s="37"/>
    </row>
    <row r="336">
      <c r="B336" s="37"/>
      <c r="I336" s="37"/>
    </row>
    <row r="337">
      <c r="B337" s="37"/>
      <c r="I337" s="37"/>
    </row>
    <row r="338">
      <c r="B338" s="37"/>
      <c r="I338" s="37"/>
    </row>
    <row r="339">
      <c r="B339" s="37"/>
      <c r="I339" s="37"/>
    </row>
    <row r="340">
      <c r="B340" s="37"/>
      <c r="I340" s="37"/>
    </row>
    <row r="341">
      <c r="B341" s="37"/>
      <c r="I341" s="37"/>
    </row>
    <row r="342">
      <c r="B342" s="37"/>
      <c r="I342" s="37"/>
    </row>
    <row r="343">
      <c r="B343" s="37"/>
      <c r="I343" s="37"/>
    </row>
    <row r="344">
      <c r="B344" s="37"/>
      <c r="I344" s="37"/>
    </row>
    <row r="345">
      <c r="B345" s="37"/>
      <c r="I345" s="37"/>
    </row>
    <row r="346">
      <c r="B346" s="37"/>
      <c r="I346" s="37"/>
    </row>
    <row r="347">
      <c r="B347" s="37"/>
      <c r="I347" s="37"/>
    </row>
    <row r="348">
      <c r="B348" s="37"/>
      <c r="I348" s="37"/>
    </row>
    <row r="349">
      <c r="B349" s="37"/>
      <c r="I349" s="37"/>
    </row>
    <row r="350">
      <c r="B350" s="37"/>
      <c r="I350" s="37"/>
    </row>
    <row r="351">
      <c r="B351" s="37"/>
      <c r="I351" s="37"/>
    </row>
    <row r="352">
      <c r="B352" s="37"/>
      <c r="I352" s="37"/>
    </row>
    <row r="353">
      <c r="B353" s="37"/>
      <c r="I353" s="37"/>
    </row>
    <row r="354">
      <c r="B354" s="37"/>
      <c r="I354" s="37"/>
    </row>
    <row r="355">
      <c r="B355" s="37"/>
      <c r="I355" s="37"/>
    </row>
    <row r="356">
      <c r="B356" s="37"/>
      <c r="I356" s="37"/>
    </row>
    <row r="357">
      <c r="B357" s="37"/>
      <c r="I357" s="37"/>
    </row>
    <row r="358">
      <c r="B358" s="37"/>
      <c r="I358" s="37"/>
    </row>
    <row r="359">
      <c r="B359" s="37"/>
      <c r="I359" s="37"/>
    </row>
    <row r="360">
      <c r="B360" s="37"/>
      <c r="I360" s="37"/>
    </row>
    <row r="361">
      <c r="B361" s="37"/>
      <c r="I361" s="37"/>
    </row>
    <row r="362">
      <c r="B362" s="37"/>
      <c r="I362" s="37"/>
    </row>
    <row r="363">
      <c r="B363" s="37"/>
      <c r="I363" s="37"/>
    </row>
    <row r="364">
      <c r="B364" s="37"/>
      <c r="I364" s="37"/>
    </row>
    <row r="365">
      <c r="B365" s="37"/>
      <c r="I365" s="37"/>
    </row>
    <row r="366">
      <c r="B366" s="37"/>
      <c r="I366" s="37"/>
    </row>
    <row r="367">
      <c r="B367" s="37"/>
      <c r="I367" s="37"/>
    </row>
    <row r="368">
      <c r="B368" s="37"/>
      <c r="I368" s="37"/>
    </row>
    <row r="369">
      <c r="B369" s="37"/>
      <c r="I369" s="37"/>
    </row>
    <row r="370">
      <c r="B370" s="37"/>
      <c r="I370" s="37"/>
    </row>
    <row r="371">
      <c r="B371" s="37"/>
      <c r="I371" s="37"/>
    </row>
    <row r="372">
      <c r="B372" s="37"/>
      <c r="I372" s="37"/>
    </row>
    <row r="373">
      <c r="B373" s="37"/>
      <c r="I373" s="37"/>
    </row>
    <row r="374">
      <c r="B374" s="37"/>
      <c r="I374" s="37"/>
    </row>
    <row r="375">
      <c r="B375" s="37"/>
      <c r="I375" s="37"/>
    </row>
    <row r="376">
      <c r="B376" s="37"/>
      <c r="I376" s="37"/>
    </row>
    <row r="377">
      <c r="B377" s="37"/>
      <c r="I377" s="37"/>
    </row>
    <row r="378">
      <c r="B378" s="37"/>
      <c r="I378" s="37"/>
    </row>
    <row r="379">
      <c r="B379" s="37"/>
      <c r="I379" s="37"/>
    </row>
    <row r="380">
      <c r="B380" s="37"/>
      <c r="I380" s="37"/>
    </row>
    <row r="381">
      <c r="B381" s="37"/>
      <c r="I381" s="37"/>
    </row>
    <row r="382">
      <c r="B382" s="37"/>
      <c r="I382" s="37"/>
    </row>
    <row r="383">
      <c r="B383" s="37"/>
      <c r="I383" s="37"/>
    </row>
    <row r="384">
      <c r="B384" s="37"/>
      <c r="I384" s="37"/>
    </row>
    <row r="385">
      <c r="B385" s="37"/>
      <c r="I385" s="37"/>
    </row>
    <row r="386">
      <c r="B386" s="37"/>
      <c r="I386" s="37"/>
    </row>
    <row r="387">
      <c r="B387" s="37"/>
      <c r="I387" s="37"/>
    </row>
    <row r="388">
      <c r="B388" s="37"/>
      <c r="I388" s="37"/>
    </row>
    <row r="389">
      <c r="B389" s="37"/>
      <c r="I389" s="37"/>
    </row>
    <row r="390">
      <c r="B390" s="37"/>
      <c r="I390" s="37"/>
    </row>
    <row r="391">
      <c r="B391" s="37"/>
      <c r="I391" s="37"/>
    </row>
    <row r="392">
      <c r="B392" s="37"/>
      <c r="I392" s="37"/>
    </row>
    <row r="393">
      <c r="B393" s="37"/>
      <c r="I393" s="37"/>
    </row>
    <row r="394">
      <c r="B394" s="37"/>
      <c r="I394" s="37"/>
    </row>
    <row r="395">
      <c r="B395" s="37"/>
      <c r="I395" s="37"/>
    </row>
    <row r="396">
      <c r="B396" s="37"/>
      <c r="I396" s="37"/>
    </row>
    <row r="397">
      <c r="B397" s="37"/>
      <c r="I397" s="37"/>
    </row>
    <row r="398">
      <c r="B398" s="37"/>
      <c r="I398" s="37"/>
    </row>
    <row r="399">
      <c r="B399" s="37"/>
      <c r="I399" s="37"/>
    </row>
    <row r="400">
      <c r="B400" s="37"/>
      <c r="I400" s="37"/>
    </row>
    <row r="401">
      <c r="B401" s="37"/>
      <c r="I401" s="37"/>
    </row>
    <row r="402">
      <c r="B402" s="37"/>
      <c r="I402" s="37"/>
    </row>
    <row r="403">
      <c r="B403" s="37"/>
      <c r="I403" s="37"/>
    </row>
    <row r="404">
      <c r="B404" s="37"/>
      <c r="I404" s="37"/>
    </row>
    <row r="405">
      <c r="B405" s="37"/>
      <c r="I405" s="37"/>
    </row>
    <row r="406">
      <c r="B406" s="37"/>
      <c r="I406" s="37"/>
    </row>
    <row r="407">
      <c r="B407" s="37"/>
      <c r="I407" s="37"/>
    </row>
    <row r="408">
      <c r="B408" s="37"/>
      <c r="I408" s="37"/>
    </row>
    <row r="409">
      <c r="B409" s="37"/>
      <c r="I409" s="37"/>
    </row>
    <row r="410">
      <c r="B410" s="37"/>
      <c r="I410" s="37"/>
    </row>
    <row r="411">
      <c r="B411" s="37"/>
      <c r="I411" s="37"/>
    </row>
    <row r="412">
      <c r="B412" s="37"/>
      <c r="I412" s="37"/>
    </row>
    <row r="413">
      <c r="B413" s="37"/>
      <c r="I413" s="37"/>
    </row>
    <row r="414">
      <c r="B414" s="37"/>
      <c r="I414" s="37"/>
    </row>
    <row r="415">
      <c r="B415" s="37"/>
      <c r="I415" s="37"/>
    </row>
    <row r="416">
      <c r="B416" s="37"/>
      <c r="I416" s="37"/>
    </row>
    <row r="417">
      <c r="B417" s="37"/>
      <c r="I417" s="37"/>
    </row>
    <row r="418">
      <c r="B418" s="37"/>
      <c r="I418" s="37"/>
    </row>
    <row r="419">
      <c r="B419" s="37"/>
      <c r="I419" s="37"/>
    </row>
    <row r="420">
      <c r="B420" s="37"/>
      <c r="I420" s="37"/>
    </row>
    <row r="421">
      <c r="B421" s="37"/>
      <c r="I421" s="37"/>
    </row>
    <row r="422">
      <c r="B422" s="37"/>
      <c r="I422" s="37"/>
    </row>
    <row r="423">
      <c r="B423" s="37"/>
      <c r="I423" s="37"/>
    </row>
    <row r="424">
      <c r="B424" s="37"/>
      <c r="I424" s="37"/>
    </row>
    <row r="425">
      <c r="B425" s="37"/>
      <c r="I425" s="37"/>
    </row>
    <row r="426">
      <c r="B426" s="37"/>
      <c r="I426" s="37"/>
    </row>
    <row r="427">
      <c r="B427" s="37"/>
      <c r="I427" s="37"/>
    </row>
    <row r="428">
      <c r="B428" s="37"/>
      <c r="I428" s="37"/>
    </row>
    <row r="429">
      <c r="B429" s="37"/>
      <c r="I429" s="37"/>
    </row>
    <row r="430">
      <c r="B430" s="37"/>
      <c r="I430" s="37"/>
    </row>
    <row r="431">
      <c r="B431" s="37"/>
      <c r="I431" s="37"/>
    </row>
    <row r="432">
      <c r="B432" s="37"/>
      <c r="I432" s="37"/>
    </row>
    <row r="433">
      <c r="B433" s="37"/>
      <c r="I433" s="37"/>
    </row>
    <row r="434">
      <c r="B434" s="37"/>
      <c r="I434" s="37"/>
    </row>
    <row r="435">
      <c r="B435" s="37"/>
      <c r="I435" s="37"/>
    </row>
    <row r="436">
      <c r="B436" s="37"/>
      <c r="I436" s="37"/>
    </row>
    <row r="437">
      <c r="B437" s="37"/>
      <c r="I437" s="37"/>
    </row>
    <row r="438">
      <c r="B438" s="37"/>
      <c r="I438" s="37"/>
    </row>
    <row r="439">
      <c r="B439" s="37"/>
      <c r="I439" s="37"/>
    </row>
    <row r="440">
      <c r="B440" s="37"/>
      <c r="I440" s="37"/>
    </row>
    <row r="441">
      <c r="B441" s="37"/>
      <c r="I441" s="37"/>
    </row>
    <row r="442">
      <c r="B442" s="37"/>
      <c r="I442" s="37"/>
    </row>
    <row r="443">
      <c r="B443" s="37"/>
      <c r="I443" s="37"/>
    </row>
    <row r="444">
      <c r="B444" s="37"/>
      <c r="I444" s="37"/>
    </row>
    <row r="445">
      <c r="B445" s="37"/>
      <c r="I445" s="37"/>
    </row>
    <row r="446">
      <c r="B446" s="37"/>
      <c r="I446" s="37"/>
    </row>
    <row r="447">
      <c r="B447" s="37"/>
      <c r="I447" s="37"/>
    </row>
    <row r="448">
      <c r="B448" s="37"/>
      <c r="I448" s="37"/>
    </row>
    <row r="449">
      <c r="B449" s="37"/>
      <c r="I449" s="37"/>
    </row>
    <row r="450">
      <c r="B450" s="37"/>
      <c r="I450" s="37"/>
    </row>
    <row r="451">
      <c r="B451" s="37"/>
      <c r="I451" s="37"/>
    </row>
    <row r="452">
      <c r="B452" s="37"/>
      <c r="I452" s="37"/>
    </row>
    <row r="453">
      <c r="B453" s="37"/>
      <c r="I453" s="37"/>
    </row>
    <row r="454">
      <c r="B454" s="37"/>
      <c r="I454" s="37"/>
    </row>
    <row r="455">
      <c r="B455" s="37"/>
      <c r="I455" s="37"/>
    </row>
    <row r="456">
      <c r="B456" s="37"/>
      <c r="I456" s="37"/>
    </row>
    <row r="457">
      <c r="B457" s="37"/>
      <c r="I457" s="37"/>
    </row>
    <row r="458">
      <c r="B458" s="37"/>
      <c r="I458" s="37"/>
    </row>
    <row r="459">
      <c r="B459" s="37"/>
      <c r="I459" s="37"/>
    </row>
    <row r="460">
      <c r="B460" s="37"/>
      <c r="I460" s="37"/>
    </row>
    <row r="461">
      <c r="B461" s="37"/>
      <c r="I461" s="37"/>
    </row>
    <row r="462">
      <c r="B462" s="37"/>
      <c r="I462" s="37"/>
    </row>
    <row r="463">
      <c r="B463" s="37"/>
      <c r="I463" s="37"/>
    </row>
    <row r="464">
      <c r="B464" s="37"/>
      <c r="I464" s="37"/>
    </row>
    <row r="465">
      <c r="B465" s="37"/>
      <c r="I465" s="37"/>
    </row>
    <row r="466">
      <c r="B466" s="37"/>
      <c r="I466" s="37"/>
    </row>
    <row r="467">
      <c r="B467" s="37"/>
      <c r="I467" s="37"/>
    </row>
    <row r="468">
      <c r="B468" s="37"/>
      <c r="I468" s="37"/>
    </row>
    <row r="469">
      <c r="B469" s="37"/>
      <c r="I469" s="37"/>
    </row>
    <row r="470">
      <c r="B470" s="37"/>
      <c r="I470" s="37"/>
    </row>
    <row r="471">
      <c r="B471" s="37"/>
      <c r="I471" s="37"/>
    </row>
    <row r="472">
      <c r="B472" s="37"/>
      <c r="I472" s="37"/>
    </row>
    <row r="473">
      <c r="B473" s="37"/>
      <c r="I473" s="37"/>
    </row>
    <row r="474">
      <c r="B474" s="37"/>
      <c r="I474" s="37"/>
    </row>
    <row r="475">
      <c r="B475" s="37"/>
      <c r="I475" s="37"/>
    </row>
    <row r="476">
      <c r="B476" s="37"/>
      <c r="I476" s="37"/>
    </row>
    <row r="477">
      <c r="B477" s="37"/>
      <c r="I477" s="37"/>
    </row>
    <row r="478">
      <c r="B478" s="37"/>
      <c r="I478" s="37"/>
    </row>
    <row r="479">
      <c r="B479" s="37"/>
      <c r="I479" s="37"/>
    </row>
    <row r="480">
      <c r="B480" s="37"/>
      <c r="I480" s="37"/>
    </row>
    <row r="481">
      <c r="B481" s="37"/>
      <c r="I481" s="37"/>
    </row>
    <row r="482">
      <c r="B482" s="37"/>
      <c r="I482" s="37"/>
    </row>
    <row r="483">
      <c r="B483" s="37"/>
      <c r="I483" s="37"/>
    </row>
    <row r="484">
      <c r="B484" s="37"/>
      <c r="I484" s="37"/>
    </row>
    <row r="485">
      <c r="B485" s="37"/>
      <c r="I485" s="37"/>
    </row>
    <row r="486">
      <c r="B486" s="37"/>
      <c r="I486" s="37"/>
    </row>
    <row r="487">
      <c r="B487" s="37"/>
      <c r="I487" s="37"/>
    </row>
    <row r="488">
      <c r="B488" s="37"/>
      <c r="I488" s="37"/>
    </row>
    <row r="489">
      <c r="B489" s="37"/>
      <c r="I489" s="37"/>
    </row>
    <row r="490">
      <c r="B490" s="37"/>
      <c r="I490" s="37"/>
    </row>
    <row r="491">
      <c r="B491" s="37"/>
      <c r="I491" s="37"/>
    </row>
    <row r="492">
      <c r="B492" s="37"/>
      <c r="I492" s="37"/>
    </row>
    <row r="493">
      <c r="B493" s="37"/>
      <c r="I493" s="37"/>
    </row>
    <row r="494">
      <c r="B494" s="37"/>
      <c r="I494" s="37"/>
    </row>
    <row r="495">
      <c r="B495" s="37"/>
      <c r="I495" s="37"/>
    </row>
    <row r="496">
      <c r="B496" s="37"/>
      <c r="I496" s="37"/>
    </row>
    <row r="497">
      <c r="B497" s="37"/>
      <c r="I497" s="37"/>
    </row>
    <row r="498">
      <c r="B498" s="37"/>
      <c r="I498" s="37"/>
    </row>
    <row r="499">
      <c r="B499" s="37"/>
      <c r="I499" s="37"/>
    </row>
    <row r="500">
      <c r="B500" s="37"/>
      <c r="I500" s="37"/>
    </row>
    <row r="501">
      <c r="B501" s="37"/>
      <c r="I501" s="37"/>
    </row>
    <row r="502">
      <c r="B502" s="37"/>
      <c r="I502" s="37"/>
    </row>
    <row r="503">
      <c r="B503" s="37"/>
      <c r="I503" s="37"/>
    </row>
    <row r="504">
      <c r="B504" s="37"/>
      <c r="I504" s="37"/>
    </row>
    <row r="505">
      <c r="B505" s="37"/>
      <c r="I505" s="37"/>
    </row>
    <row r="506">
      <c r="B506" s="37"/>
      <c r="I506" s="37"/>
    </row>
    <row r="507">
      <c r="B507" s="37"/>
      <c r="I507" s="37"/>
    </row>
    <row r="508">
      <c r="B508" s="37"/>
      <c r="I508" s="37"/>
    </row>
    <row r="509">
      <c r="B509" s="37"/>
      <c r="I509" s="37"/>
    </row>
    <row r="510">
      <c r="B510" s="37"/>
      <c r="I510" s="37"/>
    </row>
    <row r="511">
      <c r="B511" s="37"/>
      <c r="I511" s="37"/>
    </row>
    <row r="512">
      <c r="B512" s="37"/>
      <c r="I512" s="37"/>
    </row>
    <row r="513">
      <c r="B513" s="37"/>
      <c r="I513" s="37"/>
    </row>
    <row r="514">
      <c r="B514" s="37"/>
      <c r="I514" s="37"/>
    </row>
    <row r="515">
      <c r="B515" s="37"/>
      <c r="I515" s="37"/>
    </row>
    <row r="516">
      <c r="B516" s="37"/>
      <c r="I516" s="37"/>
    </row>
    <row r="517">
      <c r="B517" s="37"/>
      <c r="I517" s="37"/>
    </row>
    <row r="518">
      <c r="B518" s="37"/>
      <c r="I518" s="37"/>
    </row>
    <row r="519">
      <c r="B519" s="37"/>
      <c r="I519" s="37"/>
    </row>
    <row r="520">
      <c r="B520" s="37"/>
      <c r="I520" s="37"/>
    </row>
    <row r="521">
      <c r="B521" s="37"/>
      <c r="I521" s="37"/>
    </row>
    <row r="522">
      <c r="B522" s="37"/>
      <c r="I522" s="37"/>
    </row>
    <row r="523">
      <c r="B523" s="37"/>
      <c r="I523" s="37"/>
    </row>
    <row r="524">
      <c r="B524" s="37"/>
      <c r="I524" s="37"/>
    </row>
    <row r="525">
      <c r="B525" s="37"/>
      <c r="I525" s="37"/>
    </row>
    <row r="526">
      <c r="B526" s="37"/>
      <c r="I526" s="37"/>
    </row>
    <row r="527">
      <c r="B527" s="37"/>
      <c r="I527" s="37"/>
    </row>
    <row r="528">
      <c r="B528" s="37"/>
      <c r="I528" s="37"/>
    </row>
    <row r="529">
      <c r="B529" s="37"/>
      <c r="I529" s="37"/>
    </row>
    <row r="530">
      <c r="B530" s="37"/>
      <c r="I530" s="37"/>
    </row>
    <row r="531">
      <c r="B531" s="37"/>
      <c r="I531" s="37"/>
    </row>
    <row r="532">
      <c r="B532" s="37"/>
      <c r="I532" s="37"/>
    </row>
    <row r="533">
      <c r="B533" s="37"/>
      <c r="I533" s="37"/>
    </row>
    <row r="534">
      <c r="B534" s="37"/>
      <c r="I534" s="37"/>
    </row>
    <row r="535">
      <c r="B535" s="37"/>
      <c r="I535" s="37"/>
    </row>
    <row r="536">
      <c r="B536" s="37"/>
      <c r="I536" s="37"/>
    </row>
    <row r="537">
      <c r="B537" s="37"/>
      <c r="I537" s="37"/>
    </row>
    <row r="538">
      <c r="B538" s="37"/>
      <c r="I538" s="37"/>
    </row>
    <row r="539">
      <c r="B539" s="37"/>
      <c r="I539" s="37"/>
    </row>
    <row r="540">
      <c r="B540" s="37"/>
      <c r="I540" s="37"/>
    </row>
    <row r="541">
      <c r="B541" s="37"/>
      <c r="I541" s="37"/>
    </row>
    <row r="542">
      <c r="B542" s="37"/>
      <c r="I542" s="37"/>
    </row>
    <row r="543">
      <c r="B543" s="37"/>
      <c r="I543" s="37"/>
    </row>
    <row r="544">
      <c r="B544" s="37"/>
      <c r="I544" s="37"/>
    </row>
    <row r="545">
      <c r="B545" s="37"/>
      <c r="I545" s="37"/>
    </row>
    <row r="546">
      <c r="B546" s="37"/>
      <c r="I546" s="37"/>
    </row>
    <row r="547">
      <c r="B547" s="37"/>
      <c r="I547" s="37"/>
    </row>
    <row r="548">
      <c r="B548" s="37"/>
      <c r="I548" s="37"/>
    </row>
    <row r="549">
      <c r="B549" s="37"/>
      <c r="I549" s="37"/>
    </row>
    <row r="550">
      <c r="B550" s="37"/>
      <c r="I550" s="37"/>
    </row>
    <row r="551">
      <c r="B551" s="37"/>
      <c r="I551" s="37"/>
    </row>
    <row r="552">
      <c r="B552" s="37"/>
      <c r="I552" s="37"/>
    </row>
    <row r="553">
      <c r="B553" s="37"/>
      <c r="I553" s="37"/>
    </row>
    <row r="554">
      <c r="B554" s="37"/>
      <c r="I554" s="37"/>
    </row>
    <row r="555">
      <c r="B555" s="37"/>
      <c r="I555" s="37"/>
    </row>
    <row r="556">
      <c r="B556" s="37"/>
      <c r="I556" s="37"/>
    </row>
    <row r="557">
      <c r="B557" s="37"/>
      <c r="I557" s="37"/>
    </row>
    <row r="558">
      <c r="B558" s="37"/>
      <c r="I558" s="37"/>
    </row>
    <row r="559">
      <c r="B559" s="37"/>
      <c r="I559" s="37"/>
    </row>
    <row r="560">
      <c r="B560" s="37"/>
      <c r="I560" s="37"/>
    </row>
    <row r="561">
      <c r="B561" s="37"/>
      <c r="I561" s="37"/>
    </row>
    <row r="562">
      <c r="B562" s="37"/>
      <c r="I562" s="37"/>
    </row>
    <row r="563">
      <c r="B563" s="37"/>
      <c r="I563" s="37"/>
    </row>
    <row r="564">
      <c r="B564" s="37"/>
      <c r="I564" s="37"/>
    </row>
    <row r="565">
      <c r="B565" s="37"/>
      <c r="I565" s="37"/>
    </row>
    <row r="566">
      <c r="B566" s="37"/>
      <c r="I566" s="37"/>
    </row>
    <row r="567">
      <c r="B567" s="37"/>
      <c r="I567" s="37"/>
    </row>
    <row r="568">
      <c r="B568" s="37"/>
      <c r="I568" s="37"/>
    </row>
    <row r="569">
      <c r="B569" s="37"/>
      <c r="I569" s="37"/>
    </row>
    <row r="570">
      <c r="B570" s="37"/>
      <c r="I570" s="37"/>
    </row>
    <row r="571">
      <c r="B571" s="37"/>
      <c r="I571" s="37"/>
    </row>
    <row r="572">
      <c r="B572" s="37"/>
      <c r="I572" s="37"/>
    </row>
    <row r="573">
      <c r="B573" s="37"/>
      <c r="I573" s="37"/>
    </row>
    <row r="574">
      <c r="B574" s="37"/>
      <c r="I574" s="37"/>
    </row>
    <row r="575">
      <c r="B575" s="37"/>
      <c r="I575" s="37"/>
    </row>
    <row r="576">
      <c r="B576" s="37"/>
      <c r="I576" s="37"/>
    </row>
    <row r="577">
      <c r="B577" s="37"/>
      <c r="I577" s="37"/>
    </row>
    <row r="578">
      <c r="B578" s="37"/>
      <c r="I578" s="37"/>
    </row>
    <row r="579">
      <c r="B579" s="37"/>
      <c r="I579" s="37"/>
    </row>
    <row r="580">
      <c r="B580" s="37"/>
      <c r="I580" s="37"/>
    </row>
    <row r="581">
      <c r="B581" s="37"/>
      <c r="I581" s="37"/>
    </row>
    <row r="582">
      <c r="B582" s="37"/>
      <c r="I582" s="37"/>
    </row>
    <row r="583">
      <c r="B583" s="37"/>
      <c r="I583" s="37"/>
    </row>
    <row r="584">
      <c r="B584" s="37"/>
      <c r="I584" s="37"/>
    </row>
    <row r="585">
      <c r="B585" s="37"/>
      <c r="I585" s="37"/>
    </row>
    <row r="586">
      <c r="B586" s="37"/>
      <c r="I586" s="37"/>
    </row>
    <row r="587">
      <c r="B587" s="37"/>
      <c r="I587" s="37"/>
    </row>
    <row r="588">
      <c r="B588" s="37"/>
      <c r="I588" s="37"/>
    </row>
    <row r="589">
      <c r="B589" s="37"/>
      <c r="I589" s="37"/>
    </row>
    <row r="590">
      <c r="B590" s="37"/>
      <c r="I590" s="37"/>
    </row>
    <row r="591">
      <c r="B591" s="37"/>
      <c r="I591" s="37"/>
    </row>
    <row r="592">
      <c r="B592" s="37"/>
      <c r="I592" s="37"/>
    </row>
    <row r="593">
      <c r="B593" s="37"/>
      <c r="I593" s="37"/>
    </row>
    <row r="594">
      <c r="B594" s="37"/>
      <c r="I594" s="37"/>
    </row>
    <row r="595">
      <c r="B595" s="37"/>
      <c r="I595" s="37"/>
    </row>
    <row r="596">
      <c r="B596" s="37"/>
      <c r="I596" s="37"/>
    </row>
    <row r="597">
      <c r="B597" s="37"/>
      <c r="I597" s="37"/>
    </row>
    <row r="598">
      <c r="B598" s="37"/>
      <c r="I598" s="37"/>
    </row>
    <row r="599">
      <c r="B599" s="37"/>
      <c r="I599" s="37"/>
    </row>
    <row r="600">
      <c r="B600" s="37"/>
      <c r="I600" s="37"/>
    </row>
    <row r="601">
      <c r="B601" s="37"/>
      <c r="I601" s="37"/>
    </row>
    <row r="602">
      <c r="B602" s="37"/>
      <c r="I602" s="37"/>
    </row>
    <row r="603">
      <c r="B603" s="37"/>
      <c r="I603" s="37"/>
    </row>
    <row r="604">
      <c r="B604" s="37"/>
      <c r="I604" s="37"/>
    </row>
    <row r="605">
      <c r="B605" s="37"/>
      <c r="I605" s="37"/>
    </row>
    <row r="606">
      <c r="B606" s="37"/>
      <c r="I606" s="37"/>
    </row>
    <row r="607">
      <c r="B607" s="37"/>
      <c r="I607" s="37"/>
    </row>
    <row r="608">
      <c r="B608" s="37"/>
      <c r="I608" s="37"/>
    </row>
    <row r="609">
      <c r="B609" s="37"/>
      <c r="I609" s="37"/>
    </row>
    <row r="610">
      <c r="B610" s="37"/>
      <c r="I610" s="37"/>
    </row>
    <row r="611">
      <c r="B611" s="37"/>
      <c r="I611" s="37"/>
    </row>
    <row r="612">
      <c r="B612" s="37"/>
      <c r="I612" s="37"/>
    </row>
    <row r="613">
      <c r="B613" s="37"/>
      <c r="I613" s="37"/>
    </row>
    <row r="614">
      <c r="B614" s="37"/>
      <c r="I614" s="37"/>
    </row>
    <row r="615">
      <c r="B615" s="37"/>
      <c r="I615" s="37"/>
    </row>
    <row r="616">
      <c r="B616" s="37"/>
      <c r="I616" s="37"/>
    </row>
    <row r="617">
      <c r="B617" s="37"/>
      <c r="I617" s="37"/>
    </row>
    <row r="618">
      <c r="B618" s="37"/>
      <c r="I618" s="37"/>
    </row>
    <row r="619">
      <c r="B619" s="37"/>
      <c r="I619" s="37"/>
    </row>
    <row r="620">
      <c r="B620" s="37"/>
      <c r="I620" s="37"/>
    </row>
    <row r="621">
      <c r="B621" s="37"/>
      <c r="I621" s="37"/>
    </row>
    <row r="622">
      <c r="B622" s="37"/>
      <c r="I622" s="37"/>
    </row>
    <row r="623">
      <c r="B623" s="37"/>
      <c r="I623" s="37"/>
    </row>
    <row r="624">
      <c r="B624" s="37"/>
      <c r="I624" s="37"/>
    </row>
    <row r="625">
      <c r="B625" s="37"/>
      <c r="I625" s="37"/>
    </row>
    <row r="626">
      <c r="B626" s="37"/>
      <c r="I626" s="37"/>
    </row>
    <row r="627">
      <c r="B627" s="37"/>
      <c r="I627" s="37"/>
    </row>
    <row r="628">
      <c r="B628" s="37"/>
      <c r="I628" s="37"/>
    </row>
    <row r="629">
      <c r="B629" s="37"/>
      <c r="I629" s="37"/>
    </row>
    <row r="630">
      <c r="B630" s="37"/>
      <c r="I630" s="37"/>
    </row>
    <row r="631">
      <c r="B631" s="37"/>
      <c r="I631" s="37"/>
    </row>
    <row r="632">
      <c r="B632" s="37"/>
      <c r="I632" s="37"/>
    </row>
    <row r="633">
      <c r="B633" s="37"/>
      <c r="I633" s="37"/>
    </row>
    <row r="634">
      <c r="B634" s="37"/>
      <c r="I634" s="37"/>
    </row>
    <row r="635">
      <c r="B635" s="37"/>
      <c r="I635" s="37"/>
    </row>
    <row r="636">
      <c r="B636" s="37"/>
      <c r="I636" s="37"/>
    </row>
    <row r="637">
      <c r="B637" s="37"/>
      <c r="I637" s="37"/>
    </row>
    <row r="638">
      <c r="B638" s="37"/>
      <c r="I638" s="37"/>
    </row>
    <row r="639">
      <c r="B639" s="37"/>
      <c r="I639" s="37"/>
    </row>
    <row r="640">
      <c r="B640" s="37"/>
      <c r="I640" s="37"/>
    </row>
    <row r="641">
      <c r="B641" s="37"/>
      <c r="I641" s="37"/>
    </row>
    <row r="642">
      <c r="B642" s="37"/>
      <c r="I642" s="37"/>
    </row>
    <row r="643">
      <c r="B643" s="37"/>
      <c r="I643" s="37"/>
    </row>
    <row r="644">
      <c r="B644" s="37"/>
      <c r="I644" s="37"/>
    </row>
    <row r="645">
      <c r="B645" s="37"/>
      <c r="I645" s="37"/>
    </row>
    <row r="646">
      <c r="B646" s="37"/>
      <c r="I646" s="37"/>
    </row>
    <row r="647">
      <c r="B647" s="37"/>
      <c r="I647" s="37"/>
    </row>
    <row r="648">
      <c r="B648" s="37"/>
      <c r="I648" s="37"/>
    </row>
    <row r="649">
      <c r="B649" s="37"/>
      <c r="I649" s="37"/>
    </row>
    <row r="650">
      <c r="B650" s="37"/>
      <c r="I650" s="37"/>
    </row>
    <row r="651">
      <c r="B651" s="37"/>
      <c r="I651" s="37"/>
    </row>
    <row r="652">
      <c r="B652" s="37"/>
      <c r="I652" s="37"/>
    </row>
    <row r="653">
      <c r="B653" s="37"/>
      <c r="I653" s="37"/>
    </row>
    <row r="654">
      <c r="B654" s="37"/>
      <c r="I654" s="37"/>
    </row>
    <row r="655">
      <c r="B655" s="37"/>
      <c r="I655" s="37"/>
    </row>
    <row r="656">
      <c r="B656" s="37"/>
      <c r="I656" s="37"/>
    </row>
    <row r="657">
      <c r="B657" s="37"/>
      <c r="I657" s="37"/>
    </row>
    <row r="658">
      <c r="B658" s="37"/>
      <c r="I658" s="37"/>
    </row>
    <row r="659">
      <c r="B659" s="37"/>
      <c r="I659" s="37"/>
    </row>
    <row r="660">
      <c r="B660" s="37"/>
      <c r="I660" s="37"/>
    </row>
    <row r="661">
      <c r="B661" s="37"/>
      <c r="I661" s="37"/>
    </row>
    <row r="662">
      <c r="B662" s="37"/>
      <c r="I662" s="37"/>
    </row>
    <row r="663">
      <c r="B663" s="37"/>
      <c r="I663" s="37"/>
    </row>
    <row r="664">
      <c r="B664" s="37"/>
      <c r="I664" s="37"/>
    </row>
    <row r="665">
      <c r="B665" s="37"/>
      <c r="I665" s="37"/>
    </row>
    <row r="666">
      <c r="B666" s="37"/>
      <c r="I666" s="37"/>
    </row>
    <row r="667">
      <c r="B667" s="37"/>
      <c r="I667" s="37"/>
    </row>
    <row r="668">
      <c r="B668" s="37"/>
      <c r="I668" s="37"/>
    </row>
    <row r="669">
      <c r="B669" s="37"/>
      <c r="I669" s="37"/>
    </row>
    <row r="670">
      <c r="B670" s="37"/>
      <c r="I670" s="37"/>
    </row>
    <row r="671">
      <c r="B671" s="37"/>
      <c r="I671" s="37"/>
    </row>
    <row r="672">
      <c r="B672" s="37"/>
      <c r="I672" s="37"/>
    </row>
    <row r="673">
      <c r="B673" s="37"/>
      <c r="I673" s="37"/>
    </row>
    <row r="674">
      <c r="B674" s="37"/>
      <c r="I674" s="37"/>
    </row>
    <row r="675">
      <c r="B675" s="37"/>
      <c r="I675" s="37"/>
    </row>
    <row r="676">
      <c r="B676" s="37"/>
      <c r="I676" s="37"/>
    </row>
    <row r="677">
      <c r="B677" s="37"/>
      <c r="I677" s="37"/>
    </row>
    <row r="678">
      <c r="B678" s="37"/>
      <c r="I678" s="37"/>
    </row>
    <row r="679">
      <c r="B679" s="37"/>
      <c r="I679" s="37"/>
    </row>
    <row r="680">
      <c r="B680" s="37"/>
      <c r="I680" s="37"/>
    </row>
    <row r="681">
      <c r="B681" s="37"/>
      <c r="I681" s="37"/>
    </row>
    <row r="682">
      <c r="B682" s="37"/>
      <c r="I682" s="37"/>
    </row>
    <row r="683">
      <c r="B683" s="37"/>
      <c r="I683" s="37"/>
    </row>
    <row r="684">
      <c r="B684" s="37"/>
      <c r="I684" s="37"/>
    </row>
    <row r="685">
      <c r="B685" s="37"/>
      <c r="I685" s="37"/>
    </row>
    <row r="686">
      <c r="B686" s="37"/>
      <c r="I686" s="37"/>
    </row>
    <row r="687">
      <c r="B687" s="37"/>
      <c r="I687" s="37"/>
    </row>
    <row r="688">
      <c r="B688" s="37"/>
      <c r="I688" s="37"/>
    </row>
    <row r="689">
      <c r="B689" s="37"/>
      <c r="I689" s="37"/>
    </row>
    <row r="690">
      <c r="B690" s="37"/>
      <c r="I690" s="37"/>
    </row>
    <row r="691">
      <c r="B691" s="37"/>
      <c r="I691" s="37"/>
    </row>
    <row r="692">
      <c r="B692" s="37"/>
      <c r="I692" s="37"/>
    </row>
    <row r="693">
      <c r="B693" s="37"/>
      <c r="I693" s="37"/>
    </row>
    <row r="694">
      <c r="B694" s="37"/>
      <c r="I694" s="37"/>
    </row>
    <row r="695">
      <c r="B695" s="37"/>
      <c r="I695" s="37"/>
    </row>
    <row r="696">
      <c r="B696" s="37"/>
      <c r="I696" s="37"/>
    </row>
    <row r="697">
      <c r="B697" s="37"/>
      <c r="I697" s="37"/>
    </row>
    <row r="698">
      <c r="B698" s="37"/>
      <c r="I698" s="37"/>
    </row>
    <row r="699">
      <c r="B699" s="37"/>
      <c r="I699" s="37"/>
    </row>
    <row r="700">
      <c r="B700" s="37"/>
      <c r="I700" s="37"/>
    </row>
    <row r="701">
      <c r="B701" s="37"/>
      <c r="I701" s="37"/>
    </row>
    <row r="702">
      <c r="B702" s="37"/>
      <c r="I702" s="37"/>
    </row>
    <row r="703">
      <c r="B703" s="37"/>
      <c r="I703" s="37"/>
    </row>
    <row r="704">
      <c r="B704" s="37"/>
      <c r="I704" s="37"/>
    </row>
    <row r="705">
      <c r="B705" s="37"/>
      <c r="I705" s="37"/>
    </row>
    <row r="706">
      <c r="B706" s="37"/>
      <c r="I706" s="37"/>
    </row>
    <row r="707">
      <c r="B707" s="37"/>
      <c r="I707" s="37"/>
    </row>
    <row r="708">
      <c r="B708" s="37"/>
      <c r="I708" s="37"/>
    </row>
    <row r="709">
      <c r="B709" s="37"/>
      <c r="I709" s="37"/>
    </row>
    <row r="710">
      <c r="B710" s="37"/>
      <c r="I710" s="37"/>
    </row>
    <row r="711">
      <c r="B711" s="37"/>
      <c r="I711" s="37"/>
    </row>
    <row r="712">
      <c r="B712" s="37"/>
      <c r="I712" s="37"/>
    </row>
    <row r="713">
      <c r="B713" s="37"/>
      <c r="I713" s="37"/>
    </row>
    <row r="714">
      <c r="B714" s="37"/>
      <c r="I714" s="37"/>
    </row>
    <row r="715">
      <c r="B715" s="37"/>
      <c r="I715" s="37"/>
    </row>
    <row r="716">
      <c r="B716" s="37"/>
      <c r="I716" s="37"/>
    </row>
    <row r="717">
      <c r="B717" s="37"/>
      <c r="I717" s="37"/>
    </row>
    <row r="718">
      <c r="B718" s="37"/>
      <c r="I718" s="37"/>
    </row>
    <row r="719">
      <c r="B719" s="37"/>
      <c r="I719" s="37"/>
    </row>
    <row r="720">
      <c r="B720" s="37"/>
      <c r="I720" s="37"/>
    </row>
    <row r="721">
      <c r="B721" s="37"/>
      <c r="I721" s="37"/>
    </row>
    <row r="722">
      <c r="B722" s="37"/>
      <c r="I722" s="37"/>
    </row>
    <row r="723">
      <c r="B723" s="37"/>
      <c r="I723" s="37"/>
    </row>
    <row r="724">
      <c r="B724" s="37"/>
      <c r="I724" s="37"/>
    </row>
    <row r="725">
      <c r="B725" s="37"/>
      <c r="I725" s="37"/>
    </row>
    <row r="726">
      <c r="B726" s="37"/>
      <c r="I726" s="37"/>
    </row>
    <row r="727">
      <c r="B727" s="37"/>
      <c r="I727" s="37"/>
    </row>
    <row r="728">
      <c r="B728" s="37"/>
      <c r="I728" s="37"/>
    </row>
    <row r="729">
      <c r="B729" s="37"/>
      <c r="I729" s="37"/>
    </row>
    <row r="730">
      <c r="B730" s="37"/>
      <c r="I730" s="37"/>
    </row>
    <row r="731">
      <c r="B731" s="37"/>
      <c r="I731" s="37"/>
    </row>
    <row r="732">
      <c r="B732" s="37"/>
      <c r="I732" s="37"/>
    </row>
    <row r="733">
      <c r="B733" s="37"/>
      <c r="I733" s="37"/>
    </row>
    <row r="734">
      <c r="B734" s="37"/>
      <c r="I734" s="37"/>
    </row>
    <row r="735">
      <c r="B735" s="37"/>
      <c r="I735" s="37"/>
    </row>
    <row r="736">
      <c r="B736" s="37"/>
      <c r="I736" s="37"/>
    </row>
    <row r="737">
      <c r="B737" s="37"/>
      <c r="I737" s="37"/>
    </row>
    <row r="738">
      <c r="B738" s="37"/>
      <c r="I738" s="37"/>
    </row>
    <row r="739">
      <c r="B739" s="37"/>
      <c r="I739" s="37"/>
    </row>
    <row r="740">
      <c r="B740" s="37"/>
      <c r="I740" s="37"/>
    </row>
    <row r="741">
      <c r="B741" s="37"/>
      <c r="I741" s="37"/>
    </row>
    <row r="742">
      <c r="B742" s="37"/>
      <c r="I742" s="37"/>
    </row>
    <row r="743">
      <c r="B743" s="37"/>
      <c r="I743" s="37"/>
    </row>
    <row r="744">
      <c r="B744" s="37"/>
      <c r="I744" s="37"/>
    </row>
    <row r="745">
      <c r="B745" s="37"/>
      <c r="I745" s="37"/>
    </row>
    <row r="746">
      <c r="B746" s="37"/>
      <c r="I746" s="37"/>
    </row>
    <row r="747">
      <c r="B747" s="37"/>
      <c r="I747" s="37"/>
    </row>
    <row r="748">
      <c r="B748" s="37"/>
      <c r="I748" s="37"/>
    </row>
    <row r="749">
      <c r="B749" s="37"/>
      <c r="I749" s="37"/>
    </row>
    <row r="750">
      <c r="B750" s="37"/>
      <c r="I750" s="37"/>
    </row>
    <row r="751">
      <c r="B751" s="37"/>
      <c r="I751" s="37"/>
    </row>
    <row r="752">
      <c r="B752" s="37"/>
      <c r="I752" s="37"/>
    </row>
    <row r="753">
      <c r="B753" s="37"/>
      <c r="I753" s="37"/>
    </row>
    <row r="754">
      <c r="B754" s="37"/>
      <c r="I754" s="37"/>
    </row>
    <row r="755">
      <c r="B755" s="37"/>
      <c r="I755" s="37"/>
    </row>
    <row r="756">
      <c r="B756" s="37"/>
      <c r="I756" s="37"/>
    </row>
    <row r="757">
      <c r="B757" s="37"/>
      <c r="I757" s="37"/>
    </row>
    <row r="758">
      <c r="B758" s="37"/>
      <c r="I758" s="37"/>
    </row>
    <row r="759">
      <c r="B759" s="37"/>
      <c r="I759" s="37"/>
    </row>
    <row r="760">
      <c r="B760" s="37"/>
      <c r="I760" s="37"/>
    </row>
    <row r="761">
      <c r="B761" s="37"/>
      <c r="I761" s="37"/>
    </row>
    <row r="762">
      <c r="B762" s="37"/>
      <c r="I762" s="37"/>
    </row>
    <row r="763">
      <c r="B763" s="37"/>
      <c r="I763" s="37"/>
    </row>
    <row r="764">
      <c r="B764" s="37"/>
      <c r="I764" s="37"/>
    </row>
    <row r="765">
      <c r="B765" s="37"/>
      <c r="I765" s="37"/>
    </row>
    <row r="766">
      <c r="B766" s="37"/>
      <c r="I766" s="37"/>
    </row>
    <row r="767">
      <c r="B767" s="37"/>
      <c r="I767" s="37"/>
    </row>
    <row r="768">
      <c r="B768" s="37"/>
      <c r="I768" s="37"/>
    </row>
    <row r="769">
      <c r="B769" s="37"/>
      <c r="I769" s="37"/>
    </row>
    <row r="770">
      <c r="B770" s="37"/>
      <c r="I770" s="37"/>
    </row>
    <row r="771">
      <c r="B771" s="37"/>
      <c r="I771" s="37"/>
    </row>
    <row r="772">
      <c r="B772" s="37"/>
      <c r="I772" s="37"/>
    </row>
    <row r="773">
      <c r="B773" s="37"/>
      <c r="I773" s="37"/>
    </row>
    <row r="774">
      <c r="B774" s="37"/>
      <c r="I774" s="37"/>
    </row>
    <row r="775">
      <c r="B775" s="37"/>
      <c r="I775" s="37"/>
    </row>
    <row r="776">
      <c r="B776" s="37"/>
      <c r="I776" s="37"/>
    </row>
    <row r="777">
      <c r="B777" s="37"/>
      <c r="I777" s="37"/>
    </row>
    <row r="778">
      <c r="B778" s="37"/>
      <c r="I778" s="37"/>
    </row>
    <row r="779">
      <c r="B779" s="37"/>
      <c r="I779" s="37"/>
    </row>
    <row r="780">
      <c r="B780" s="37"/>
      <c r="I780" s="37"/>
    </row>
    <row r="781">
      <c r="B781" s="37"/>
      <c r="I781" s="37"/>
    </row>
    <row r="782">
      <c r="B782" s="37"/>
      <c r="I782" s="37"/>
    </row>
    <row r="783">
      <c r="B783" s="37"/>
      <c r="I783" s="37"/>
    </row>
    <row r="784">
      <c r="B784" s="37"/>
      <c r="I784" s="37"/>
    </row>
    <row r="785">
      <c r="B785" s="37"/>
      <c r="I785" s="37"/>
    </row>
    <row r="786">
      <c r="B786" s="37"/>
      <c r="I786" s="37"/>
    </row>
    <row r="787">
      <c r="B787" s="37"/>
      <c r="I787" s="37"/>
    </row>
    <row r="788">
      <c r="B788" s="37"/>
      <c r="I788" s="37"/>
    </row>
    <row r="789">
      <c r="B789" s="37"/>
      <c r="I789" s="37"/>
    </row>
    <row r="790">
      <c r="B790" s="37"/>
      <c r="I790" s="37"/>
    </row>
    <row r="791">
      <c r="B791" s="37"/>
      <c r="I791" s="37"/>
    </row>
    <row r="792">
      <c r="B792" s="37"/>
      <c r="I792" s="37"/>
    </row>
    <row r="793">
      <c r="B793" s="37"/>
      <c r="I793" s="37"/>
    </row>
    <row r="794">
      <c r="B794" s="37"/>
      <c r="I794" s="37"/>
    </row>
    <row r="795">
      <c r="B795" s="37"/>
      <c r="I795" s="37"/>
    </row>
    <row r="796">
      <c r="B796" s="37"/>
      <c r="I796" s="37"/>
    </row>
    <row r="797">
      <c r="B797" s="37"/>
      <c r="I797" s="37"/>
    </row>
    <row r="798">
      <c r="B798" s="37"/>
      <c r="I798" s="37"/>
    </row>
    <row r="799">
      <c r="B799" s="37"/>
      <c r="I799" s="37"/>
    </row>
    <row r="800">
      <c r="B800" s="37"/>
      <c r="I800" s="37"/>
    </row>
    <row r="801">
      <c r="B801" s="37"/>
      <c r="I801" s="37"/>
    </row>
    <row r="802">
      <c r="B802" s="37"/>
      <c r="I802" s="37"/>
    </row>
    <row r="803">
      <c r="B803" s="37"/>
      <c r="I803" s="37"/>
    </row>
    <row r="804">
      <c r="B804" s="37"/>
      <c r="I804" s="37"/>
    </row>
    <row r="805">
      <c r="B805" s="37"/>
      <c r="I805" s="37"/>
    </row>
    <row r="806">
      <c r="B806" s="37"/>
      <c r="I806" s="37"/>
    </row>
    <row r="807">
      <c r="B807" s="37"/>
      <c r="I807" s="37"/>
    </row>
    <row r="808">
      <c r="B808" s="37"/>
      <c r="I808" s="37"/>
    </row>
    <row r="809">
      <c r="B809" s="37"/>
      <c r="I809" s="37"/>
    </row>
    <row r="810">
      <c r="B810" s="37"/>
      <c r="I810" s="37"/>
    </row>
    <row r="811">
      <c r="B811" s="37"/>
      <c r="I811" s="37"/>
    </row>
    <row r="812">
      <c r="B812" s="37"/>
      <c r="I812" s="37"/>
    </row>
    <row r="813">
      <c r="B813" s="37"/>
      <c r="I813" s="37"/>
    </row>
    <row r="814">
      <c r="B814" s="37"/>
      <c r="I814" s="37"/>
    </row>
    <row r="815">
      <c r="B815" s="37"/>
      <c r="I815" s="37"/>
    </row>
    <row r="816">
      <c r="B816" s="37"/>
      <c r="I816" s="37"/>
    </row>
    <row r="817">
      <c r="B817" s="37"/>
      <c r="I817" s="37"/>
    </row>
    <row r="818">
      <c r="B818" s="37"/>
      <c r="I818" s="37"/>
    </row>
    <row r="819">
      <c r="B819" s="37"/>
      <c r="I819" s="37"/>
    </row>
    <row r="820">
      <c r="B820" s="37"/>
      <c r="I820" s="37"/>
    </row>
    <row r="821">
      <c r="B821" s="37"/>
      <c r="I821" s="37"/>
    </row>
    <row r="822">
      <c r="B822" s="37"/>
      <c r="I822" s="37"/>
    </row>
    <row r="823">
      <c r="B823" s="37"/>
      <c r="I823" s="37"/>
    </row>
    <row r="824">
      <c r="B824" s="37"/>
      <c r="I824" s="37"/>
    </row>
    <row r="825">
      <c r="B825" s="37"/>
      <c r="I825" s="37"/>
    </row>
    <row r="826">
      <c r="B826" s="37"/>
      <c r="I826" s="37"/>
    </row>
    <row r="827">
      <c r="B827" s="37"/>
      <c r="I827" s="37"/>
    </row>
    <row r="828">
      <c r="B828" s="37"/>
      <c r="I828" s="37"/>
    </row>
    <row r="829">
      <c r="B829" s="37"/>
      <c r="I829" s="37"/>
    </row>
    <row r="830">
      <c r="B830" s="37"/>
      <c r="I830" s="37"/>
    </row>
    <row r="831">
      <c r="B831" s="37"/>
      <c r="I831" s="37"/>
    </row>
    <row r="832">
      <c r="B832" s="37"/>
      <c r="I832" s="37"/>
    </row>
    <row r="833">
      <c r="B833" s="37"/>
      <c r="I833" s="37"/>
    </row>
    <row r="834">
      <c r="B834" s="37"/>
      <c r="I834" s="37"/>
    </row>
    <row r="835">
      <c r="B835" s="37"/>
      <c r="I835" s="37"/>
    </row>
    <row r="836">
      <c r="B836" s="37"/>
      <c r="I836" s="37"/>
    </row>
    <row r="837">
      <c r="B837" s="37"/>
      <c r="I837" s="37"/>
    </row>
    <row r="838">
      <c r="B838" s="37"/>
      <c r="I838" s="37"/>
    </row>
    <row r="839">
      <c r="B839" s="37"/>
      <c r="I839" s="37"/>
    </row>
    <row r="840">
      <c r="B840" s="37"/>
      <c r="I840" s="37"/>
    </row>
    <row r="841">
      <c r="B841" s="37"/>
      <c r="I841" s="37"/>
    </row>
    <row r="842">
      <c r="B842" s="37"/>
      <c r="I842" s="37"/>
    </row>
    <row r="843">
      <c r="B843" s="37"/>
      <c r="I843" s="37"/>
    </row>
    <row r="844">
      <c r="B844" s="37"/>
      <c r="I844" s="37"/>
    </row>
    <row r="845">
      <c r="B845" s="37"/>
      <c r="I845" s="37"/>
    </row>
    <row r="846">
      <c r="B846" s="37"/>
      <c r="I846" s="37"/>
    </row>
    <row r="847">
      <c r="B847" s="37"/>
      <c r="I847" s="37"/>
    </row>
    <row r="848">
      <c r="B848" s="37"/>
      <c r="I848" s="37"/>
    </row>
    <row r="849">
      <c r="B849" s="37"/>
      <c r="I849" s="37"/>
    </row>
    <row r="850">
      <c r="B850" s="37"/>
      <c r="I850" s="37"/>
    </row>
    <row r="851">
      <c r="B851" s="37"/>
      <c r="I851" s="37"/>
    </row>
    <row r="852">
      <c r="B852" s="37"/>
      <c r="I852" s="37"/>
    </row>
    <row r="853">
      <c r="B853" s="37"/>
      <c r="I853" s="37"/>
    </row>
    <row r="854">
      <c r="B854" s="37"/>
      <c r="I854" s="37"/>
    </row>
    <row r="855">
      <c r="B855" s="37"/>
      <c r="I855" s="37"/>
    </row>
    <row r="856">
      <c r="B856" s="37"/>
      <c r="I856" s="37"/>
    </row>
    <row r="857">
      <c r="B857" s="37"/>
      <c r="I857" s="37"/>
    </row>
    <row r="858">
      <c r="B858" s="37"/>
      <c r="I858" s="37"/>
    </row>
    <row r="859">
      <c r="B859" s="37"/>
      <c r="I859" s="37"/>
    </row>
    <row r="860">
      <c r="B860" s="37"/>
      <c r="I860" s="37"/>
    </row>
    <row r="861">
      <c r="B861" s="37"/>
      <c r="I861" s="37"/>
    </row>
    <row r="862">
      <c r="B862" s="37"/>
      <c r="I862" s="37"/>
    </row>
    <row r="863">
      <c r="B863" s="37"/>
      <c r="I863" s="37"/>
    </row>
    <row r="864">
      <c r="B864" s="37"/>
      <c r="I864" s="37"/>
    </row>
    <row r="865">
      <c r="B865" s="37"/>
      <c r="I865" s="37"/>
    </row>
    <row r="866">
      <c r="B866" s="37"/>
      <c r="I866" s="37"/>
    </row>
    <row r="867">
      <c r="B867" s="37"/>
      <c r="I867" s="37"/>
    </row>
    <row r="868">
      <c r="B868" s="37"/>
      <c r="I868" s="37"/>
    </row>
    <row r="869">
      <c r="B869" s="37"/>
      <c r="I869" s="37"/>
    </row>
    <row r="870">
      <c r="B870" s="37"/>
      <c r="I870" s="37"/>
    </row>
    <row r="871">
      <c r="B871" s="37"/>
      <c r="I871" s="37"/>
    </row>
    <row r="872">
      <c r="B872" s="37"/>
      <c r="I872" s="37"/>
    </row>
    <row r="873">
      <c r="B873" s="37"/>
      <c r="I873" s="37"/>
    </row>
    <row r="874">
      <c r="B874" s="37"/>
      <c r="I874" s="37"/>
    </row>
    <row r="875">
      <c r="B875" s="37"/>
      <c r="I875" s="37"/>
    </row>
    <row r="876">
      <c r="B876" s="37"/>
      <c r="I876" s="37"/>
    </row>
    <row r="877">
      <c r="B877" s="37"/>
      <c r="I877" s="37"/>
    </row>
    <row r="878">
      <c r="B878" s="37"/>
      <c r="I878" s="37"/>
    </row>
    <row r="879">
      <c r="B879" s="37"/>
      <c r="I879" s="37"/>
    </row>
    <row r="880">
      <c r="B880" s="37"/>
      <c r="I880" s="37"/>
    </row>
    <row r="881">
      <c r="B881" s="37"/>
      <c r="I881" s="37"/>
    </row>
    <row r="882">
      <c r="B882" s="37"/>
      <c r="I882" s="37"/>
    </row>
    <row r="883">
      <c r="B883" s="37"/>
      <c r="I883" s="37"/>
    </row>
    <row r="884">
      <c r="B884" s="37"/>
      <c r="I884" s="37"/>
    </row>
    <row r="885">
      <c r="B885" s="37"/>
      <c r="I885" s="37"/>
    </row>
    <row r="886">
      <c r="B886" s="37"/>
      <c r="I886" s="37"/>
    </row>
    <row r="887">
      <c r="B887" s="37"/>
      <c r="I887" s="37"/>
    </row>
    <row r="888">
      <c r="B888" s="37"/>
      <c r="I888" s="37"/>
    </row>
    <row r="889">
      <c r="B889" s="37"/>
      <c r="I889" s="37"/>
    </row>
    <row r="890">
      <c r="B890" s="37"/>
      <c r="I890" s="37"/>
    </row>
    <row r="891">
      <c r="B891" s="37"/>
      <c r="I891" s="37"/>
    </row>
    <row r="892">
      <c r="B892" s="37"/>
      <c r="I892" s="37"/>
    </row>
    <row r="893">
      <c r="B893" s="37"/>
      <c r="I893" s="37"/>
    </row>
    <row r="894">
      <c r="B894" s="37"/>
      <c r="I894" s="37"/>
    </row>
    <row r="895">
      <c r="B895" s="37"/>
      <c r="I895" s="37"/>
    </row>
    <row r="896">
      <c r="B896" s="37"/>
      <c r="I896" s="37"/>
    </row>
    <row r="897">
      <c r="B897" s="37"/>
      <c r="I897" s="37"/>
    </row>
    <row r="898">
      <c r="B898" s="37"/>
      <c r="I898" s="37"/>
    </row>
    <row r="899">
      <c r="B899" s="37"/>
      <c r="I899" s="37"/>
    </row>
    <row r="900">
      <c r="B900" s="37"/>
      <c r="I900" s="37"/>
    </row>
    <row r="901">
      <c r="B901" s="37"/>
      <c r="I901" s="37"/>
    </row>
    <row r="902">
      <c r="B902" s="37"/>
      <c r="I902" s="37"/>
    </row>
    <row r="903">
      <c r="B903" s="37"/>
      <c r="I903" s="37"/>
    </row>
    <row r="904">
      <c r="B904" s="37"/>
      <c r="I904" s="37"/>
    </row>
    <row r="905">
      <c r="B905" s="37"/>
      <c r="I905" s="37"/>
    </row>
    <row r="906">
      <c r="B906" s="37"/>
      <c r="I906" s="37"/>
    </row>
    <row r="907">
      <c r="B907" s="37"/>
      <c r="I907" s="37"/>
    </row>
    <row r="908">
      <c r="B908" s="37"/>
      <c r="I908" s="37"/>
    </row>
    <row r="909">
      <c r="B909" s="37"/>
      <c r="I909" s="37"/>
    </row>
    <row r="910">
      <c r="B910" s="37"/>
      <c r="I910" s="37"/>
    </row>
    <row r="911">
      <c r="B911" s="37"/>
      <c r="I911" s="37"/>
    </row>
    <row r="912">
      <c r="B912" s="37"/>
      <c r="I912" s="37"/>
    </row>
    <row r="913">
      <c r="B913" s="37"/>
      <c r="I913" s="37"/>
    </row>
    <row r="914">
      <c r="B914" s="37"/>
      <c r="I914" s="37"/>
    </row>
    <row r="915">
      <c r="B915" s="37"/>
      <c r="I915" s="37"/>
    </row>
    <row r="916">
      <c r="B916" s="37"/>
      <c r="I916" s="37"/>
    </row>
    <row r="917">
      <c r="B917" s="37"/>
      <c r="I917" s="37"/>
    </row>
    <row r="918">
      <c r="B918" s="37"/>
      <c r="I918" s="37"/>
    </row>
    <row r="919">
      <c r="B919" s="37"/>
      <c r="I919" s="37"/>
    </row>
    <row r="920">
      <c r="B920" s="37"/>
      <c r="I920" s="37"/>
    </row>
    <row r="921">
      <c r="B921" s="37"/>
      <c r="I921" s="37"/>
    </row>
    <row r="922">
      <c r="B922" s="37"/>
      <c r="I922" s="37"/>
    </row>
    <row r="923">
      <c r="B923" s="37"/>
      <c r="I923" s="37"/>
    </row>
    <row r="924">
      <c r="B924" s="37"/>
      <c r="I924" s="37"/>
    </row>
    <row r="925">
      <c r="B925" s="37"/>
      <c r="I925" s="37"/>
    </row>
    <row r="926">
      <c r="B926" s="37"/>
      <c r="I926" s="37"/>
    </row>
    <row r="927">
      <c r="B927" s="37"/>
      <c r="I927" s="37"/>
    </row>
    <row r="928">
      <c r="B928" s="37"/>
      <c r="I928" s="37"/>
    </row>
    <row r="929">
      <c r="B929" s="37"/>
      <c r="I929" s="37"/>
    </row>
    <row r="930">
      <c r="B930" s="37"/>
      <c r="I930" s="37"/>
    </row>
    <row r="931">
      <c r="B931" s="37"/>
      <c r="I931" s="37"/>
    </row>
    <row r="932">
      <c r="B932" s="37"/>
      <c r="I932" s="37"/>
    </row>
    <row r="933">
      <c r="B933" s="37"/>
      <c r="I933" s="37"/>
    </row>
    <row r="934">
      <c r="B934" s="37"/>
      <c r="I934" s="37"/>
    </row>
    <row r="935">
      <c r="B935" s="37"/>
      <c r="I935" s="37"/>
    </row>
    <row r="936">
      <c r="B936" s="37"/>
      <c r="I936" s="37"/>
    </row>
    <row r="937">
      <c r="B937" s="37"/>
      <c r="I937" s="37"/>
    </row>
    <row r="938">
      <c r="B938" s="37"/>
      <c r="I938" s="37"/>
    </row>
    <row r="939">
      <c r="B939" s="37"/>
      <c r="I939" s="37"/>
    </row>
    <row r="940">
      <c r="B940" s="37"/>
      <c r="I940" s="37"/>
    </row>
    <row r="941">
      <c r="B941" s="37"/>
      <c r="I941" s="37"/>
    </row>
    <row r="942">
      <c r="B942" s="37"/>
      <c r="I942" s="37"/>
    </row>
    <row r="943">
      <c r="B943" s="37"/>
      <c r="I943" s="37"/>
    </row>
    <row r="944">
      <c r="B944" s="37"/>
      <c r="I944" s="37"/>
    </row>
    <row r="945">
      <c r="B945" s="37"/>
      <c r="I945" s="37"/>
    </row>
    <row r="946">
      <c r="B946" s="37"/>
      <c r="I946" s="37"/>
    </row>
    <row r="947">
      <c r="B947" s="37"/>
      <c r="I947" s="37"/>
    </row>
    <row r="948">
      <c r="B948" s="37"/>
      <c r="I948" s="37"/>
    </row>
    <row r="949">
      <c r="B949" s="37"/>
      <c r="I949" s="37"/>
    </row>
    <row r="950">
      <c r="B950" s="37"/>
      <c r="I950" s="37"/>
    </row>
    <row r="951">
      <c r="B951" s="37"/>
      <c r="I951" s="37"/>
    </row>
    <row r="952">
      <c r="B952" s="37"/>
      <c r="I952" s="37"/>
    </row>
    <row r="953">
      <c r="B953" s="37"/>
      <c r="I953" s="37"/>
    </row>
    <row r="954">
      <c r="B954" s="37"/>
      <c r="I954" s="37"/>
    </row>
    <row r="955">
      <c r="B955" s="37"/>
      <c r="I955" s="37"/>
    </row>
    <row r="956">
      <c r="B956" s="37"/>
      <c r="I956" s="37"/>
    </row>
    <row r="957">
      <c r="B957" s="37"/>
      <c r="I957" s="37"/>
    </row>
    <row r="958">
      <c r="B958" s="37"/>
      <c r="I958" s="37"/>
    </row>
    <row r="959">
      <c r="B959" s="37"/>
      <c r="I959" s="37"/>
    </row>
    <row r="960">
      <c r="B960" s="37"/>
      <c r="I960" s="37"/>
    </row>
    <row r="961">
      <c r="B961" s="37"/>
      <c r="I961" s="37"/>
    </row>
    <row r="962">
      <c r="B962" s="37"/>
      <c r="I962" s="37"/>
    </row>
    <row r="963">
      <c r="B963" s="37"/>
      <c r="I963" s="37"/>
    </row>
    <row r="964">
      <c r="B964" s="37"/>
      <c r="I964" s="37"/>
    </row>
    <row r="965">
      <c r="B965" s="37"/>
      <c r="I965" s="37"/>
    </row>
    <row r="966">
      <c r="B966" s="37"/>
      <c r="I966" s="37"/>
    </row>
    <row r="967">
      <c r="B967" s="37"/>
      <c r="I967" s="37"/>
    </row>
    <row r="968">
      <c r="B968" s="37"/>
      <c r="I968" s="37"/>
    </row>
    <row r="969">
      <c r="B969" s="37"/>
      <c r="I969" s="37"/>
    </row>
    <row r="970">
      <c r="B970" s="37"/>
      <c r="I970" s="37"/>
    </row>
    <row r="971">
      <c r="B971" s="37"/>
      <c r="I971" s="37"/>
    </row>
    <row r="972">
      <c r="B972" s="37"/>
      <c r="I972" s="37"/>
    </row>
    <row r="973">
      <c r="B973" s="37"/>
      <c r="I973" s="37"/>
    </row>
    <row r="974">
      <c r="B974" s="37"/>
      <c r="I974" s="37"/>
    </row>
    <row r="975">
      <c r="B975" s="37"/>
      <c r="I975" s="37"/>
    </row>
    <row r="976">
      <c r="B976" s="37"/>
      <c r="I976" s="37"/>
    </row>
    <row r="977">
      <c r="B977" s="37"/>
      <c r="I977" s="37"/>
    </row>
    <row r="978">
      <c r="B978" s="37"/>
      <c r="I978" s="37"/>
    </row>
    <row r="979">
      <c r="B979" s="37"/>
      <c r="I979" s="37"/>
    </row>
    <row r="980">
      <c r="B980" s="37"/>
      <c r="I980" s="37"/>
    </row>
    <row r="981">
      <c r="B981" s="37"/>
      <c r="I981" s="37"/>
    </row>
    <row r="982">
      <c r="B982" s="37"/>
      <c r="I982" s="37"/>
    </row>
    <row r="983">
      <c r="B983" s="37"/>
      <c r="I983" s="37"/>
    </row>
    <row r="984">
      <c r="B984" s="37"/>
      <c r="I984" s="37"/>
    </row>
    <row r="985">
      <c r="B985" s="37"/>
      <c r="I985" s="37"/>
    </row>
    <row r="986">
      <c r="B986" s="37"/>
      <c r="I986" s="37"/>
    </row>
    <row r="987">
      <c r="B987" s="37"/>
      <c r="I987" s="37"/>
    </row>
    <row r="988">
      <c r="B988" s="37"/>
      <c r="I988" s="37"/>
    </row>
    <row r="989">
      <c r="B989" s="37"/>
      <c r="I989" s="37"/>
    </row>
    <row r="990">
      <c r="B990" s="37"/>
      <c r="I990" s="37"/>
    </row>
    <row r="991">
      <c r="B991" s="37"/>
      <c r="I991" s="37"/>
    </row>
    <row r="992">
      <c r="B992" s="37"/>
      <c r="I992" s="37"/>
    </row>
  </sheetData>
  <conditionalFormatting sqref="I2:I101">
    <cfRule type="containsText" dxfId="6" priority="1" operator="containsText" text="S tier">
      <formula>NOT(ISERROR(SEARCH(("S tier"),(I2))))</formula>
    </cfRule>
  </conditionalFormatting>
  <conditionalFormatting sqref="I2:I101">
    <cfRule type="containsText" dxfId="12" priority="2" operator="containsText" text="A tier">
      <formula>NOT(ISERROR(SEARCH(("A tier"),(I2))))</formula>
    </cfRule>
  </conditionalFormatting>
  <conditionalFormatting sqref="I2:I101">
    <cfRule type="containsText" dxfId="8" priority="3" operator="containsText" text="B TIER">
      <formula>NOT(ISERROR(SEARCH(("B TIER"),(I2))))</formula>
    </cfRule>
  </conditionalFormatting>
  <conditionalFormatting sqref="I2:I101">
    <cfRule type="containsText" dxfId="13" priority="4" operator="containsText" text="C TIER">
      <formula>NOT(ISERROR(SEARCH(("C TIER"),(I2))))</formula>
    </cfRule>
  </conditionalFormatting>
  <conditionalFormatting sqref="I2:I101">
    <cfRule type="containsText" dxfId="14" priority="5" operator="containsText" text="E TIER">
      <formula>NOT(ISERROR(SEARCH(("E TIER"),(I2))))</formula>
    </cfRule>
  </conditionalFormatting>
  <conditionalFormatting sqref="I2:I101">
    <cfRule type="beginsWith" dxfId="15" priority="6" operator="beginsWith" text="D TIER">
      <formula>LEFT((I2),LEN("D TIER"))=("D TIER")</formula>
    </cfRule>
  </conditionalFormatting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7.38"/>
    <col customWidth="1" min="3" max="3" width="22.63"/>
    <col customWidth="1" min="4" max="4" width="18.38"/>
    <col customWidth="1" min="5" max="5" width="22.63"/>
    <col customWidth="1" min="6" max="6" width="23.38"/>
  </cols>
  <sheetData>
    <row r="1" ht="22.5" customHeight="1">
      <c r="A1" s="1" t="s">
        <v>0</v>
      </c>
      <c r="B1" s="1" t="s">
        <v>164</v>
      </c>
      <c r="C1" s="30" t="s">
        <v>165</v>
      </c>
      <c r="D1" s="1" t="s">
        <v>3</v>
      </c>
      <c r="E1" s="1" t="s">
        <v>166</v>
      </c>
      <c r="F1" s="34" t="s">
        <v>16</v>
      </c>
    </row>
    <row r="2" ht="22.5" customHeight="1">
      <c r="A2" s="11" t="s">
        <v>90</v>
      </c>
      <c r="B2" s="31" t="s">
        <v>167</v>
      </c>
      <c r="C2" s="31" t="s">
        <v>168</v>
      </c>
      <c r="D2" s="24" t="s">
        <v>169</v>
      </c>
      <c r="E2" s="38" t="s">
        <v>170</v>
      </c>
      <c r="F2" s="38" t="s">
        <v>171</v>
      </c>
    </row>
    <row r="3" ht="22.5" customHeight="1">
      <c r="A3" s="11" t="s">
        <v>93</v>
      </c>
      <c r="B3" s="4" t="s">
        <v>168</v>
      </c>
      <c r="C3" s="24" t="s">
        <v>168</v>
      </c>
      <c r="D3" s="24" t="s">
        <v>168</v>
      </c>
      <c r="E3" s="38" t="s">
        <v>170</v>
      </c>
      <c r="F3" s="38" t="s">
        <v>172</v>
      </c>
    </row>
    <row r="4" ht="22.5" customHeight="1">
      <c r="A4" s="11" t="s">
        <v>67</v>
      </c>
      <c r="B4" s="31" t="s">
        <v>168</v>
      </c>
      <c r="C4" s="31" t="s">
        <v>173</v>
      </c>
      <c r="D4" s="24" t="s">
        <v>169</v>
      </c>
      <c r="E4" s="25" t="s">
        <v>170</v>
      </c>
    </row>
    <row r="5" ht="22.5" customHeight="1">
      <c r="A5" s="11" t="s">
        <v>84</v>
      </c>
      <c r="B5" s="4" t="s">
        <v>168</v>
      </c>
      <c r="C5" s="31" t="s">
        <v>173</v>
      </c>
      <c r="D5" s="24" t="s">
        <v>169</v>
      </c>
      <c r="E5" s="25" t="s">
        <v>170</v>
      </c>
    </row>
    <row r="6" ht="22.5" customHeight="1">
      <c r="A6" s="11" t="s">
        <v>124</v>
      </c>
      <c r="B6" s="4" t="s">
        <v>168</v>
      </c>
      <c r="C6" s="24" t="s">
        <v>168</v>
      </c>
      <c r="D6" s="24" t="s">
        <v>168</v>
      </c>
      <c r="E6" s="25" t="s">
        <v>170</v>
      </c>
    </row>
    <row r="7" ht="22.5" customHeight="1">
      <c r="A7" s="11" t="s">
        <v>76</v>
      </c>
      <c r="B7" s="4" t="s">
        <v>168</v>
      </c>
      <c r="C7" s="24" t="s">
        <v>168</v>
      </c>
      <c r="D7" s="24" t="s">
        <v>168</v>
      </c>
      <c r="E7" s="25" t="s">
        <v>170</v>
      </c>
      <c r="F7" s="25" t="s">
        <v>174</v>
      </c>
    </row>
    <row r="8" ht="22.5" customHeight="1">
      <c r="A8" s="11" t="s">
        <v>127</v>
      </c>
      <c r="B8" s="4" t="s">
        <v>168</v>
      </c>
      <c r="C8" s="24" t="s">
        <v>168</v>
      </c>
      <c r="D8" s="24" t="s">
        <v>168</v>
      </c>
      <c r="E8" s="25" t="s">
        <v>170</v>
      </c>
      <c r="F8" s="25" t="s">
        <v>174</v>
      </c>
    </row>
    <row r="9" ht="22.5" customHeight="1">
      <c r="A9" s="11" t="s">
        <v>82</v>
      </c>
      <c r="B9" s="4" t="s">
        <v>168</v>
      </c>
      <c r="C9" s="24" t="s">
        <v>168</v>
      </c>
      <c r="D9" s="24" t="s">
        <v>175</v>
      </c>
      <c r="E9" s="25" t="s">
        <v>170</v>
      </c>
    </row>
    <row r="10" ht="22.5" customHeight="1">
      <c r="A10" s="11" t="s">
        <v>100</v>
      </c>
      <c r="B10" s="4" t="s">
        <v>168</v>
      </c>
      <c r="C10" s="24" t="s">
        <v>168</v>
      </c>
      <c r="D10" s="24" t="s">
        <v>175</v>
      </c>
      <c r="E10" s="25" t="s">
        <v>170</v>
      </c>
      <c r="F10" s="25" t="s">
        <v>176</v>
      </c>
    </row>
    <row r="11" ht="22.5" customHeight="1">
      <c r="A11" s="11" t="s">
        <v>98</v>
      </c>
      <c r="B11" s="4" t="s">
        <v>168</v>
      </c>
      <c r="C11" s="24" t="s">
        <v>168</v>
      </c>
      <c r="D11" s="24" t="s">
        <v>175</v>
      </c>
      <c r="E11" s="25" t="s">
        <v>177</v>
      </c>
    </row>
    <row r="12" ht="22.5" customHeight="1">
      <c r="A12" s="11" t="s">
        <v>36</v>
      </c>
      <c r="B12" s="31" t="s">
        <v>178</v>
      </c>
      <c r="C12" s="31" t="s">
        <v>179</v>
      </c>
      <c r="D12" s="24"/>
      <c r="E12" s="25" t="s">
        <v>177</v>
      </c>
    </row>
    <row r="13" ht="22.5" customHeight="1">
      <c r="A13" s="11" t="s">
        <v>87</v>
      </c>
      <c r="B13" s="31" t="s">
        <v>178</v>
      </c>
      <c r="C13" s="31" t="s">
        <v>180</v>
      </c>
      <c r="D13" s="24"/>
      <c r="E13" s="25" t="s">
        <v>177</v>
      </c>
    </row>
    <row r="14" ht="22.5" customHeight="1">
      <c r="A14" s="11" t="s">
        <v>106</v>
      </c>
      <c r="B14" s="4" t="s">
        <v>168</v>
      </c>
      <c r="C14" s="24" t="s">
        <v>168</v>
      </c>
      <c r="D14" s="24" t="s">
        <v>168</v>
      </c>
      <c r="E14" s="25" t="s">
        <v>177</v>
      </c>
    </row>
    <row r="15" ht="22.5" customHeight="1">
      <c r="A15" s="11" t="s">
        <v>181</v>
      </c>
      <c r="B15" s="31"/>
      <c r="C15" s="31"/>
      <c r="D15" s="24"/>
      <c r="E15" s="25" t="s">
        <v>182</v>
      </c>
      <c r="F15" s="25" t="s">
        <v>183</v>
      </c>
    </row>
    <row r="16" ht="22.5" customHeight="1">
      <c r="A16" s="11" t="s">
        <v>88</v>
      </c>
      <c r="B16" s="4" t="s">
        <v>168</v>
      </c>
      <c r="C16" s="24" t="s">
        <v>168</v>
      </c>
      <c r="D16" s="24" t="s">
        <v>168</v>
      </c>
      <c r="E16" s="25" t="s">
        <v>177</v>
      </c>
    </row>
    <row r="17" ht="22.5" customHeight="1">
      <c r="A17" s="11" t="s">
        <v>126</v>
      </c>
      <c r="B17" s="4" t="s">
        <v>168</v>
      </c>
      <c r="C17" s="24" t="s">
        <v>168</v>
      </c>
      <c r="D17" s="24" t="s">
        <v>175</v>
      </c>
      <c r="E17" s="25" t="s">
        <v>177</v>
      </c>
    </row>
    <row r="18" ht="22.5" customHeight="1">
      <c r="A18" s="11" t="s">
        <v>112</v>
      </c>
      <c r="B18" s="31" t="s">
        <v>173</v>
      </c>
      <c r="C18" s="31" t="s">
        <v>168</v>
      </c>
      <c r="D18" s="24" t="s">
        <v>169</v>
      </c>
      <c r="E18" s="25" t="s">
        <v>177</v>
      </c>
    </row>
    <row r="19" ht="22.5" customHeight="1">
      <c r="A19" s="11" t="s">
        <v>57</v>
      </c>
      <c r="B19" s="31" t="s">
        <v>145</v>
      </c>
      <c r="C19" s="31" t="s">
        <v>145</v>
      </c>
      <c r="D19" s="24" t="s">
        <v>145</v>
      </c>
      <c r="E19" s="25" t="s">
        <v>177</v>
      </c>
      <c r="F19" s="25" t="s">
        <v>184</v>
      </c>
    </row>
    <row r="20" ht="22.5" customHeight="1">
      <c r="A20" s="11" t="s">
        <v>185</v>
      </c>
      <c r="B20" s="31">
        <v>26850.0</v>
      </c>
      <c r="C20" s="32">
        <f t="shared" ref="C20:C30" si="1">B20/5</f>
        <v>5370</v>
      </c>
      <c r="D20" s="5" t="str">
        <f t="shared" ref="D20:D30" si="2">IF(C20&gt;11000,"Top core",
 IF(C20&gt;=9000,"Good",
 IF(C20&gt;=8000,"Average",
 IF(C20&gt;=6000,"Below avg","Low"))))</f>
        <v>Low</v>
      </c>
      <c r="E20" s="25" t="s">
        <v>177</v>
      </c>
    </row>
    <row r="21" ht="22.5" customHeight="1">
      <c r="A21" s="11" t="s">
        <v>121</v>
      </c>
      <c r="B21" s="4">
        <v>0.416</v>
      </c>
      <c r="C21" s="24">
        <f t="shared" si="1"/>
        <v>0.0832</v>
      </c>
      <c r="D21" s="5" t="str">
        <f t="shared" si="2"/>
        <v>Low</v>
      </c>
      <c r="E21" s="25" t="s">
        <v>177</v>
      </c>
    </row>
    <row r="22" ht="22.5" customHeight="1">
      <c r="A22" s="39" t="s">
        <v>118</v>
      </c>
      <c r="B22" s="40">
        <v>4250.0</v>
      </c>
      <c r="C22" s="40">
        <f t="shared" si="1"/>
        <v>850</v>
      </c>
      <c r="D22" s="41" t="str">
        <f t="shared" si="2"/>
        <v>Low</v>
      </c>
      <c r="E22" s="25" t="s">
        <v>177</v>
      </c>
    </row>
    <row r="23" ht="22.5" customHeight="1">
      <c r="A23" s="11" t="s">
        <v>116</v>
      </c>
      <c r="B23" s="31">
        <v>35140.0</v>
      </c>
      <c r="C23" s="32">
        <f t="shared" si="1"/>
        <v>7028</v>
      </c>
      <c r="D23" s="5" t="str">
        <f t="shared" si="2"/>
        <v>Below avg</v>
      </c>
      <c r="E23" s="25" t="s">
        <v>177</v>
      </c>
    </row>
    <row r="24" ht="22.5" customHeight="1">
      <c r="A24" s="11" t="s">
        <v>117</v>
      </c>
      <c r="B24" s="31">
        <v>38090.0</v>
      </c>
      <c r="C24" s="32">
        <f t="shared" si="1"/>
        <v>7618</v>
      </c>
      <c r="D24" s="5" t="str">
        <f t="shared" si="2"/>
        <v>Below avg</v>
      </c>
      <c r="E24" s="25" t="s">
        <v>177</v>
      </c>
    </row>
    <row r="25" ht="22.5" customHeight="1">
      <c r="A25" s="11" t="s">
        <v>95</v>
      </c>
      <c r="B25" s="31">
        <v>39300.0</v>
      </c>
      <c r="C25" s="32">
        <f t="shared" si="1"/>
        <v>7860</v>
      </c>
      <c r="D25" s="5" t="str">
        <f t="shared" si="2"/>
        <v>Below avg</v>
      </c>
      <c r="E25" s="25" t="s">
        <v>177</v>
      </c>
    </row>
    <row r="26" ht="22.5" customHeight="1">
      <c r="A26" s="11" t="s">
        <v>102</v>
      </c>
      <c r="B26" s="31">
        <v>27100.0</v>
      </c>
      <c r="C26" s="32">
        <f t="shared" si="1"/>
        <v>5420</v>
      </c>
      <c r="D26" s="5" t="str">
        <f t="shared" si="2"/>
        <v>Low</v>
      </c>
      <c r="E26" s="25" t="s">
        <v>177</v>
      </c>
    </row>
    <row r="27" ht="22.5" customHeight="1">
      <c r="A27" s="11" t="s">
        <v>128</v>
      </c>
      <c r="B27" s="4">
        <v>1.4</v>
      </c>
      <c r="C27" s="5">
        <f t="shared" si="1"/>
        <v>0.28</v>
      </c>
      <c r="D27" s="5" t="str">
        <f t="shared" si="2"/>
        <v>Low</v>
      </c>
      <c r="E27" s="25" t="s">
        <v>182</v>
      </c>
    </row>
    <row r="28" ht="22.5" customHeight="1">
      <c r="A28" s="11" t="s">
        <v>108</v>
      </c>
      <c r="B28" s="31">
        <v>26560.0</v>
      </c>
      <c r="C28" s="32">
        <f t="shared" si="1"/>
        <v>5312</v>
      </c>
      <c r="D28" s="5" t="str">
        <f t="shared" si="2"/>
        <v>Low</v>
      </c>
      <c r="E28" s="25" t="s">
        <v>177</v>
      </c>
    </row>
    <row r="29" ht="22.5" customHeight="1">
      <c r="A29" s="11" t="s">
        <v>119</v>
      </c>
      <c r="B29" s="31">
        <v>19160.0</v>
      </c>
      <c r="C29" s="32">
        <f t="shared" si="1"/>
        <v>3832</v>
      </c>
      <c r="D29" s="5" t="str">
        <f t="shared" si="2"/>
        <v>Low</v>
      </c>
      <c r="E29" s="25" t="s">
        <v>177</v>
      </c>
    </row>
    <row r="30" ht="22.5" customHeight="1">
      <c r="A30" s="11" t="s">
        <v>120</v>
      </c>
      <c r="B30" s="31">
        <v>26490.0</v>
      </c>
      <c r="C30" s="32">
        <f t="shared" si="1"/>
        <v>5298</v>
      </c>
      <c r="D30" s="5" t="str">
        <f t="shared" si="2"/>
        <v>Low</v>
      </c>
      <c r="E30" s="25" t="s">
        <v>177</v>
      </c>
    </row>
  </sheetData>
  <conditionalFormatting sqref="D2:D14 D16:D17 D20:D21 D24:D27">
    <cfRule type="cellIs" dxfId="5" priority="1" operator="equal">
      <formula>"Top core"</formula>
    </cfRule>
  </conditionalFormatting>
  <conditionalFormatting sqref="D2:D14 D16:D17 D20:D21 D24:D27">
    <cfRule type="cellIs" dxfId="6" priority="2" operator="equal">
      <formula>"average"</formula>
    </cfRule>
  </conditionalFormatting>
  <conditionalFormatting sqref="D2:D14 D16:D17 D20:D21 D24:D27">
    <cfRule type="cellIs" dxfId="7" priority="3" operator="equal">
      <formula>"good"</formula>
    </cfRule>
  </conditionalFormatting>
  <conditionalFormatting sqref="D2:D14 D16:D17 D20:D21 D24:D27">
    <cfRule type="cellIs" dxfId="8" priority="4" operator="equal">
      <formula>"below avg"</formula>
    </cfRule>
  </conditionalFormatting>
  <conditionalFormatting sqref="D2:D14 D16:D17 D20:D21 D24:D27">
    <cfRule type="cellIs" dxfId="9" priority="5" operator="equal">
      <formula>"low"</formula>
    </cfRule>
  </conditionalFormatting>
  <conditionalFormatting sqref="D1:D30">
    <cfRule type="cellIs" dxfId="10" priority="6" operator="equal">
      <formula>"Top core"</formula>
    </cfRule>
  </conditionalFormatting>
  <conditionalFormatting sqref="D1:D30">
    <cfRule type="cellIs" dxfId="11" priority="7" operator="equal">
      <formula>"Good"</formula>
    </cfRule>
  </conditionalFormatting>
  <conditionalFormatting sqref="D1:D30">
    <cfRule type="cellIs" dxfId="6" priority="8" operator="equal">
      <formula>"Average"</formula>
    </cfRule>
  </conditionalFormatting>
  <conditionalFormatting sqref="D1:D30">
    <cfRule type="cellIs" dxfId="8" priority="9" operator="equal">
      <formula>"Below avg"</formula>
    </cfRule>
  </conditionalFormatting>
  <conditionalFormatting sqref="D1:D30">
    <cfRule type="cellIs" dxfId="9" priority="10" operator="equal">
      <formula>"Low"</formula>
    </cfRule>
  </conditionalFormatting>
  <drawing r:id="rId1"/>
  <tableParts count="1">
    <tablePart r:id="rId3"/>
  </tableParts>
</worksheet>
</file>